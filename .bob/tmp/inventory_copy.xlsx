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ishSingh\projects\vedaarna-studio\src\assets\Inventory_sheet\"/>
    </mc:Choice>
  </mc:AlternateContent>
  <xr:revisionPtr revIDLastSave="0" documentId="13_ncr:1_{0F9B2744-9AEF-4261-9783-30ED2DF3B576}" xr6:coauthVersionLast="47" xr6:coauthVersionMax="47" xr10:uidLastSave="{00000000-0000-0000-0000-000000000000}"/>
  <bookViews>
    <workbookView xWindow="-120" yWindow="-120" windowWidth="29040" windowHeight="15720" xr2:uid="{00000000-000D-0000-FFFF-FFFF00000000}"/>
  </bookViews>
  <sheets>
    <sheet name="SKU Master" sheetId="1" r:id="rId1"/>
    <sheet name="Code Lists" sheetId="2" r:id="rId2"/>
    <sheet name="Instructions" sheetId="3" r:id="rId3"/>
  </sheets>
  <definedNames>
    <definedName name="ColorList">'Code Lists'!$G$2:INDEX('Code Lists'!$G:$G,COUNTA('Code Lists'!$G:$G))</definedName>
    <definedName name="FabricList">'Code Lists'!$D$2:INDEX('Code Lists'!$D:$D,COUNTA('Code Lists'!$D:$D))</definedName>
    <definedName name="GarmentTypeList">'Code Lists'!$A$2:INDEX('Code Lists'!$A:$A,COUNTA('Code Lists'!$A:$A))</definedName>
    <definedName name="PatternList">'Code Lists'!$N$2:INDEX('Code Lists'!$N:$N,COUNTA('Code Lists'!$N:$N))</definedName>
    <definedName name="SizeList">'Code Lists'!$J$2:INDEX('Code Lists'!$J:$J,COUNTA('Code Lists'!$J:$J))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9" i="1" l="1"/>
  <c r="AD29" i="1"/>
  <c r="AE29" i="1"/>
  <c r="AF29" i="1"/>
  <c r="AG29" i="1"/>
  <c r="AA29" i="1"/>
  <c r="AB29" i="1"/>
  <c r="AC29" i="1"/>
  <c r="Z29" i="1"/>
  <c r="V29" i="1"/>
  <c r="U29" i="1" s="1"/>
  <c r="S29" i="1"/>
  <c r="R29" i="1"/>
  <c r="Q29" i="1"/>
  <c r="C29" i="1"/>
  <c r="F29" i="1"/>
  <c r="H29" i="1"/>
  <c r="V5" i="1"/>
  <c r="V6" i="1"/>
  <c r="U6" i="1" s="1"/>
  <c r="V7" i="1"/>
  <c r="V8" i="1"/>
  <c r="V9" i="1"/>
  <c r="V10" i="1"/>
  <c r="U10" i="1" s="1"/>
  <c r="V11" i="1"/>
  <c r="U11" i="1" s="1"/>
  <c r="V12" i="1"/>
  <c r="U12" i="1" s="1"/>
  <c r="V13" i="1"/>
  <c r="V14" i="1"/>
  <c r="V15" i="1"/>
  <c r="V16" i="1"/>
  <c r="U16" i="1" s="1"/>
  <c r="V17" i="1"/>
  <c r="U17" i="1" s="1"/>
  <c r="V18" i="1"/>
  <c r="U18" i="1" s="1"/>
  <c r="V19" i="1"/>
  <c r="U19" i="1" s="1"/>
  <c r="V20" i="1"/>
  <c r="U20" i="1" s="1"/>
  <c r="V21" i="1"/>
  <c r="U21" i="1" s="1"/>
  <c r="V22" i="1"/>
  <c r="V23" i="1"/>
  <c r="U23" i="1" s="1"/>
  <c r="V24" i="1"/>
  <c r="V25" i="1"/>
  <c r="V26" i="1"/>
  <c r="U26" i="1" s="1"/>
  <c r="V27" i="1"/>
  <c r="U27" i="1" s="1"/>
  <c r="V28" i="1"/>
  <c r="U28" i="1" s="1"/>
  <c r="V30" i="1"/>
  <c r="V31" i="1"/>
  <c r="U31" i="1" s="1"/>
  <c r="V32" i="1"/>
  <c r="V33" i="1"/>
  <c r="U33" i="1" s="1"/>
  <c r="V34" i="1"/>
  <c r="U34" i="1" s="1"/>
  <c r="V35" i="1"/>
  <c r="U35" i="1" s="1"/>
  <c r="V36" i="1"/>
  <c r="V37" i="1"/>
  <c r="U37" i="1" s="1"/>
  <c r="V38" i="1"/>
  <c r="V39" i="1"/>
  <c r="U39" i="1" s="1"/>
  <c r="V40" i="1"/>
  <c r="V41" i="1"/>
  <c r="U41" i="1" s="1"/>
  <c r="V42" i="1"/>
  <c r="U42" i="1" s="1"/>
  <c r="V43" i="1"/>
  <c r="U43" i="1" s="1"/>
  <c r="V44" i="1"/>
  <c r="V45" i="1"/>
  <c r="U45" i="1" s="1"/>
  <c r="V46" i="1"/>
  <c r="V47" i="1"/>
  <c r="V48" i="1"/>
  <c r="V49" i="1"/>
  <c r="U49" i="1" s="1"/>
  <c r="V50" i="1"/>
  <c r="U50" i="1" s="1"/>
  <c r="V51" i="1"/>
  <c r="U51" i="1" s="1"/>
  <c r="V52" i="1"/>
  <c r="V53" i="1"/>
  <c r="U53" i="1" s="1"/>
  <c r="V54" i="1"/>
  <c r="V55" i="1"/>
  <c r="U55" i="1" s="1"/>
  <c r="V56" i="1"/>
  <c r="V57" i="1"/>
  <c r="U57" i="1" s="1"/>
  <c r="V58" i="1"/>
  <c r="U58" i="1" s="1"/>
  <c r="V59" i="1"/>
  <c r="U59" i="1" s="1"/>
  <c r="V60" i="1"/>
  <c r="V61" i="1"/>
  <c r="V62" i="1"/>
  <c r="V63" i="1"/>
  <c r="V64" i="1"/>
  <c r="V65" i="1"/>
  <c r="U65" i="1" s="1"/>
  <c r="V66" i="1"/>
  <c r="U66" i="1" s="1"/>
  <c r="V67" i="1"/>
  <c r="U67" i="1" s="1"/>
  <c r="V68" i="1"/>
  <c r="V69" i="1"/>
  <c r="U69" i="1" s="1"/>
  <c r="V70" i="1"/>
  <c r="V71" i="1"/>
  <c r="U71" i="1" s="1"/>
  <c r="V72" i="1"/>
  <c r="V73" i="1"/>
  <c r="U73" i="1" s="1"/>
  <c r="V74" i="1"/>
  <c r="U74" i="1" s="1"/>
  <c r="V75" i="1"/>
  <c r="U75" i="1" s="1"/>
  <c r="V76" i="1"/>
  <c r="V77" i="1"/>
  <c r="V78" i="1"/>
  <c r="V79" i="1"/>
  <c r="U79" i="1" s="1"/>
  <c r="V80" i="1"/>
  <c r="V81" i="1"/>
  <c r="U81" i="1" s="1"/>
  <c r="V82" i="1"/>
  <c r="U82" i="1" s="1"/>
  <c r="V83" i="1"/>
  <c r="U83" i="1" s="1"/>
  <c r="V84" i="1"/>
  <c r="V85" i="1"/>
  <c r="U85" i="1" s="1"/>
  <c r="V86" i="1"/>
  <c r="V87" i="1"/>
  <c r="U87" i="1" s="1"/>
  <c r="V88" i="1"/>
  <c r="V89" i="1"/>
  <c r="U89" i="1" s="1"/>
  <c r="V90" i="1"/>
  <c r="U90" i="1" s="1"/>
  <c r="V91" i="1"/>
  <c r="U91" i="1" s="1"/>
  <c r="V92" i="1"/>
  <c r="V93" i="1"/>
  <c r="U93" i="1" s="1"/>
  <c r="V94" i="1"/>
  <c r="V95" i="1"/>
  <c r="U95" i="1" s="1"/>
  <c r="V96" i="1"/>
  <c r="V97" i="1"/>
  <c r="U97" i="1" s="1"/>
  <c r="V98" i="1"/>
  <c r="U98" i="1" s="1"/>
  <c r="V99" i="1"/>
  <c r="U99" i="1" s="1"/>
  <c r="V100" i="1"/>
  <c r="V101" i="1"/>
  <c r="U101" i="1" s="1"/>
  <c r="V102" i="1"/>
  <c r="V103" i="1"/>
  <c r="U103" i="1" s="1"/>
  <c r="V104" i="1"/>
  <c r="V105" i="1"/>
  <c r="U105" i="1" s="1"/>
  <c r="V106" i="1"/>
  <c r="U106" i="1" s="1"/>
  <c r="V107" i="1"/>
  <c r="U107" i="1" s="1"/>
  <c r="V108" i="1"/>
  <c r="V109" i="1"/>
  <c r="U109" i="1" s="1"/>
  <c r="V110" i="1"/>
  <c r="V111" i="1"/>
  <c r="V112" i="1"/>
  <c r="V113" i="1"/>
  <c r="U113" i="1" s="1"/>
  <c r="V114" i="1"/>
  <c r="U114" i="1" s="1"/>
  <c r="V115" i="1"/>
  <c r="U115" i="1" s="1"/>
  <c r="V116" i="1"/>
  <c r="V117" i="1"/>
  <c r="U117" i="1" s="1"/>
  <c r="V118" i="1"/>
  <c r="V119" i="1"/>
  <c r="U119" i="1" s="1"/>
  <c r="V120" i="1"/>
  <c r="V121" i="1"/>
  <c r="U121" i="1" s="1"/>
  <c r="V122" i="1"/>
  <c r="U122" i="1" s="1"/>
  <c r="V123" i="1"/>
  <c r="U123" i="1" s="1"/>
  <c r="V124" i="1"/>
  <c r="V125" i="1"/>
  <c r="V126" i="1"/>
  <c r="V127" i="1"/>
  <c r="V128" i="1"/>
  <c r="V129" i="1"/>
  <c r="U129" i="1" s="1"/>
  <c r="V130" i="1"/>
  <c r="U130" i="1" s="1"/>
  <c r="V131" i="1"/>
  <c r="U131" i="1" s="1"/>
  <c r="V132" i="1"/>
  <c r="V133" i="1"/>
  <c r="U133" i="1" s="1"/>
  <c r="V134" i="1"/>
  <c r="V135" i="1"/>
  <c r="U135" i="1" s="1"/>
  <c r="V136" i="1"/>
  <c r="V137" i="1"/>
  <c r="U137" i="1" s="1"/>
  <c r="V138" i="1"/>
  <c r="U138" i="1" s="1"/>
  <c r="V139" i="1"/>
  <c r="U139" i="1" s="1"/>
  <c r="V140" i="1"/>
  <c r="U140" i="1" s="1"/>
  <c r="V141" i="1"/>
  <c r="V142" i="1"/>
  <c r="V143" i="1"/>
  <c r="U143" i="1" s="1"/>
  <c r="V144" i="1"/>
  <c r="V145" i="1"/>
  <c r="U145" i="1" s="1"/>
  <c r="V146" i="1"/>
  <c r="U146" i="1" s="1"/>
  <c r="V147" i="1"/>
  <c r="U147" i="1" s="1"/>
  <c r="V148" i="1"/>
  <c r="V149" i="1"/>
  <c r="U149" i="1" s="1"/>
  <c r="V150" i="1"/>
  <c r="V151" i="1"/>
  <c r="U151" i="1" s="1"/>
  <c r="V152" i="1"/>
  <c r="V153" i="1"/>
  <c r="U153" i="1" s="1"/>
  <c r="V154" i="1"/>
  <c r="U154" i="1" s="1"/>
  <c r="V155" i="1"/>
  <c r="U155" i="1" s="1"/>
  <c r="V156" i="1"/>
  <c r="V157" i="1"/>
  <c r="U157" i="1" s="1"/>
  <c r="V158" i="1"/>
  <c r="V159" i="1"/>
  <c r="U159" i="1" s="1"/>
  <c r="V160" i="1"/>
  <c r="V161" i="1"/>
  <c r="U161" i="1" s="1"/>
  <c r="V162" i="1"/>
  <c r="U162" i="1" s="1"/>
  <c r="V163" i="1"/>
  <c r="U163" i="1" s="1"/>
  <c r="V164" i="1"/>
  <c r="V165" i="1"/>
  <c r="U165" i="1" s="1"/>
  <c r="V166" i="1"/>
  <c r="V167" i="1"/>
  <c r="U167" i="1" s="1"/>
  <c r="V168" i="1"/>
  <c r="V169" i="1"/>
  <c r="U169" i="1" s="1"/>
  <c r="V170" i="1"/>
  <c r="U170" i="1" s="1"/>
  <c r="V171" i="1"/>
  <c r="U171" i="1" s="1"/>
  <c r="V172" i="1"/>
  <c r="V173" i="1"/>
  <c r="U173" i="1" s="1"/>
  <c r="V174" i="1"/>
  <c r="V175" i="1"/>
  <c r="V176" i="1"/>
  <c r="V177" i="1"/>
  <c r="U177" i="1" s="1"/>
  <c r="V178" i="1"/>
  <c r="U178" i="1" s="1"/>
  <c r="V179" i="1"/>
  <c r="U179" i="1" s="1"/>
  <c r="V180" i="1"/>
  <c r="V181" i="1"/>
  <c r="U181" i="1" s="1"/>
  <c r="V182" i="1"/>
  <c r="V183" i="1"/>
  <c r="U183" i="1" s="1"/>
  <c r="V184" i="1"/>
  <c r="V185" i="1"/>
  <c r="U185" i="1" s="1"/>
  <c r="V186" i="1"/>
  <c r="U186" i="1" s="1"/>
  <c r="V187" i="1"/>
  <c r="U187" i="1" s="1"/>
  <c r="V188" i="1"/>
  <c r="V189" i="1"/>
  <c r="V190" i="1"/>
  <c r="V191" i="1"/>
  <c r="V192" i="1"/>
  <c r="V193" i="1"/>
  <c r="U193" i="1" s="1"/>
  <c r="V194" i="1"/>
  <c r="U194" i="1" s="1"/>
  <c r="V195" i="1"/>
  <c r="U195" i="1" s="1"/>
  <c r="V196" i="1"/>
  <c r="V197" i="1"/>
  <c r="U197" i="1" s="1"/>
  <c r="V198" i="1"/>
  <c r="V199" i="1"/>
  <c r="U199" i="1" s="1"/>
  <c r="V200" i="1"/>
  <c r="V201" i="1"/>
  <c r="U201" i="1" s="1"/>
  <c r="V202" i="1"/>
  <c r="U202" i="1" s="1"/>
  <c r="V203" i="1"/>
  <c r="U203" i="1" s="1"/>
  <c r="V204" i="1"/>
  <c r="U204" i="1" s="1"/>
  <c r="V205" i="1"/>
  <c r="V206" i="1"/>
  <c r="V207" i="1"/>
  <c r="U207" i="1" s="1"/>
  <c r="V208" i="1"/>
  <c r="V209" i="1"/>
  <c r="U209" i="1" s="1"/>
  <c r="V210" i="1"/>
  <c r="U210" i="1" s="1"/>
  <c r="V211" i="1"/>
  <c r="U211" i="1" s="1"/>
  <c r="V212" i="1"/>
  <c r="V213" i="1"/>
  <c r="U213" i="1" s="1"/>
  <c r="V214" i="1"/>
  <c r="V215" i="1"/>
  <c r="U215" i="1" s="1"/>
  <c r="V216" i="1"/>
  <c r="V217" i="1"/>
  <c r="U217" i="1" s="1"/>
  <c r="V218" i="1"/>
  <c r="U218" i="1" s="1"/>
  <c r="V219" i="1"/>
  <c r="U219" i="1" s="1"/>
  <c r="V220" i="1"/>
  <c r="V221" i="1"/>
  <c r="U221" i="1" s="1"/>
  <c r="V222" i="1"/>
  <c r="V223" i="1"/>
  <c r="U223" i="1" s="1"/>
  <c r="V224" i="1"/>
  <c r="V225" i="1"/>
  <c r="U225" i="1" s="1"/>
  <c r="V226" i="1"/>
  <c r="U226" i="1" s="1"/>
  <c r="V227" i="1"/>
  <c r="U227" i="1" s="1"/>
  <c r="V228" i="1"/>
  <c r="V229" i="1"/>
  <c r="U229" i="1" s="1"/>
  <c r="V230" i="1"/>
  <c r="V231" i="1"/>
  <c r="U231" i="1" s="1"/>
  <c r="V232" i="1"/>
  <c r="V233" i="1"/>
  <c r="U233" i="1" s="1"/>
  <c r="V234" i="1"/>
  <c r="U234" i="1" s="1"/>
  <c r="V235" i="1"/>
  <c r="U235" i="1" s="1"/>
  <c r="V236" i="1"/>
  <c r="V237" i="1"/>
  <c r="U237" i="1" s="1"/>
  <c r="V238" i="1"/>
  <c r="V239" i="1"/>
  <c r="V240" i="1"/>
  <c r="V241" i="1"/>
  <c r="U241" i="1" s="1"/>
  <c r="V242" i="1"/>
  <c r="U242" i="1" s="1"/>
  <c r="V243" i="1"/>
  <c r="U243" i="1" s="1"/>
  <c r="V244" i="1"/>
  <c r="V245" i="1"/>
  <c r="U245" i="1" s="1"/>
  <c r="V246" i="1"/>
  <c r="V247" i="1"/>
  <c r="U247" i="1" s="1"/>
  <c r="V248" i="1"/>
  <c r="V249" i="1"/>
  <c r="U249" i="1" s="1"/>
  <c r="V250" i="1"/>
  <c r="U250" i="1" s="1"/>
  <c r="V251" i="1"/>
  <c r="U251" i="1" s="1"/>
  <c r="V252" i="1"/>
  <c r="V253" i="1"/>
  <c r="V254" i="1"/>
  <c r="V255" i="1"/>
  <c r="V256" i="1"/>
  <c r="V257" i="1"/>
  <c r="U257" i="1" s="1"/>
  <c r="V258" i="1"/>
  <c r="U258" i="1" s="1"/>
  <c r="V259" i="1"/>
  <c r="U259" i="1" s="1"/>
  <c r="V260" i="1"/>
  <c r="V261" i="1"/>
  <c r="U261" i="1" s="1"/>
  <c r="V262" i="1"/>
  <c r="V263" i="1"/>
  <c r="U263" i="1" s="1"/>
  <c r="V264" i="1"/>
  <c r="V265" i="1"/>
  <c r="U265" i="1" s="1"/>
  <c r="V266" i="1"/>
  <c r="U266" i="1" s="1"/>
  <c r="V267" i="1"/>
  <c r="U267" i="1" s="1"/>
  <c r="V268" i="1"/>
  <c r="U268" i="1" s="1"/>
  <c r="V269" i="1"/>
  <c r="V270" i="1"/>
  <c r="V271" i="1"/>
  <c r="U271" i="1" s="1"/>
  <c r="V272" i="1"/>
  <c r="V273" i="1"/>
  <c r="U273" i="1" s="1"/>
  <c r="V274" i="1"/>
  <c r="U274" i="1" s="1"/>
  <c r="V275" i="1"/>
  <c r="U275" i="1" s="1"/>
  <c r="V276" i="1"/>
  <c r="V277" i="1"/>
  <c r="U277" i="1" s="1"/>
  <c r="V278" i="1"/>
  <c r="V279" i="1"/>
  <c r="U279" i="1" s="1"/>
  <c r="V280" i="1"/>
  <c r="V281" i="1"/>
  <c r="U281" i="1" s="1"/>
  <c r="V282" i="1"/>
  <c r="U282" i="1" s="1"/>
  <c r="V283" i="1"/>
  <c r="U283" i="1" s="1"/>
  <c r="V284" i="1"/>
  <c r="V285" i="1"/>
  <c r="U285" i="1" s="1"/>
  <c r="V286" i="1"/>
  <c r="V287" i="1"/>
  <c r="U287" i="1" s="1"/>
  <c r="V288" i="1"/>
  <c r="V289" i="1"/>
  <c r="U289" i="1" s="1"/>
  <c r="V290" i="1"/>
  <c r="U290" i="1" s="1"/>
  <c r="V291" i="1"/>
  <c r="U291" i="1" s="1"/>
  <c r="V292" i="1"/>
  <c r="V293" i="1"/>
  <c r="U293" i="1" s="1"/>
  <c r="V294" i="1"/>
  <c r="V295" i="1"/>
  <c r="U295" i="1" s="1"/>
  <c r="V296" i="1"/>
  <c r="V297" i="1"/>
  <c r="U297" i="1" s="1"/>
  <c r="V298" i="1"/>
  <c r="U298" i="1" s="1"/>
  <c r="V299" i="1"/>
  <c r="U299" i="1" s="1"/>
  <c r="V300" i="1"/>
  <c r="V301" i="1"/>
  <c r="U301" i="1" s="1"/>
  <c r="V302" i="1"/>
  <c r="V303" i="1"/>
  <c r="V304" i="1"/>
  <c r="V305" i="1"/>
  <c r="U305" i="1" s="1"/>
  <c r="V306" i="1"/>
  <c r="U306" i="1" s="1"/>
  <c r="V307" i="1"/>
  <c r="U307" i="1" s="1"/>
  <c r="V308" i="1"/>
  <c r="V309" i="1"/>
  <c r="U309" i="1" s="1"/>
  <c r="V310" i="1"/>
  <c r="V311" i="1"/>
  <c r="U311" i="1" s="1"/>
  <c r="V312" i="1"/>
  <c r="V313" i="1"/>
  <c r="U313" i="1" s="1"/>
  <c r="V314" i="1"/>
  <c r="U314" i="1" s="1"/>
  <c r="V315" i="1"/>
  <c r="U315" i="1" s="1"/>
  <c r="V316" i="1"/>
  <c r="V317" i="1"/>
  <c r="V318" i="1"/>
  <c r="V319" i="1"/>
  <c r="V320" i="1"/>
  <c r="V321" i="1"/>
  <c r="U321" i="1" s="1"/>
  <c r="V322" i="1"/>
  <c r="U322" i="1" s="1"/>
  <c r="V323" i="1"/>
  <c r="U323" i="1" s="1"/>
  <c r="V324" i="1"/>
  <c r="V325" i="1"/>
  <c r="U325" i="1" s="1"/>
  <c r="V326" i="1"/>
  <c r="V327" i="1"/>
  <c r="V328" i="1"/>
  <c r="V329" i="1"/>
  <c r="U329" i="1" s="1"/>
  <c r="V330" i="1"/>
  <c r="U330" i="1" s="1"/>
  <c r="V331" i="1"/>
  <c r="U331" i="1" s="1"/>
  <c r="V332" i="1"/>
  <c r="U332" i="1" s="1"/>
  <c r="V333" i="1"/>
  <c r="V334" i="1"/>
  <c r="V335" i="1"/>
  <c r="U335" i="1" s="1"/>
  <c r="V336" i="1"/>
  <c r="V337" i="1"/>
  <c r="U337" i="1" s="1"/>
  <c r="V338" i="1"/>
  <c r="U338" i="1" s="1"/>
  <c r="V339" i="1"/>
  <c r="U339" i="1" s="1"/>
  <c r="V340" i="1"/>
  <c r="U340" i="1" s="1"/>
  <c r="V341" i="1"/>
  <c r="V342" i="1"/>
  <c r="V343" i="1"/>
  <c r="U343" i="1" s="1"/>
  <c r="V344" i="1"/>
  <c r="V345" i="1"/>
  <c r="U345" i="1" s="1"/>
  <c r="V346" i="1"/>
  <c r="U346" i="1" s="1"/>
  <c r="V347" i="1"/>
  <c r="U347" i="1" s="1"/>
  <c r="V348" i="1"/>
  <c r="V349" i="1"/>
  <c r="U349" i="1" s="1"/>
  <c r="V350" i="1"/>
  <c r="V351" i="1"/>
  <c r="U351" i="1" s="1"/>
  <c r="V352" i="1"/>
  <c r="V353" i="1"/>
  <c r="U353" i="1" s="1"/>
  <c r="V354" i="1"/>
  <c r="U354" i="1" s="1"/>
  <c r="V355" i="1"/>
  <c r="U355" i="1" s="1"/>
  <c r="V356" i="1"/>
  <c r="V357" i="1"/>
  <c r="U357" i="1" s="1"/>
  <c r="V358" i="1"/>
  <c r="V359" i="1"/>
  <c r="U359" i="1" s="1"/>
  <c r="V360" i="1"/>
  <c r="V361" i="1"/>
  <c r="U361" i="1" s="1"/>
  <c r="V362" i="1"/>
  <c r="U362" i="1" s="1"/>
  <c r="V363" i="1"/>
  <c r="U363" i="1" s="1"/>
  <c r="V364" i="1"/>
  <c r="U364" i="1" s="1"/>
  <c r="V365" i="1"/>
  <c r="U365" i="1" s="1"/>
  <c r="V366" i="1"/>
  <c r="V367" i="1"/>
  <c r="V368" i="1"/>
  <c r="V369" i="1"/>
  <c r="U369" i="1" s="1"/>
  <c r="V370" i="1"/>
  <c r="U370" i="1" s="1"/>
  <c r="V371" i="1"/>
  <c r="U371" i="1" s="1"/>
  <c r="V372" i="1"/>
  <c r="V373" i="1"/>
  <c r="U373" i="1" s="1"/>
  <c r="V374" i="1"/>
  <c r="V375" i="1"/>
  <c r="U375" i="1" s="1"/>
  <c r="V376" i="1"/>
  <c r="V377" i="1"/>
  <c r="U377" i="1" s="1"/>
  <c r="V378" i="1"/>
  <c r="U378" i="1" s="1"/>
  <c r="V379" i="1"/>
  <c r="U379" i="1" s="1"/>
  <c r="V380" i="1"/>
  <c r="V381" i="1"/>
  <c r="V382" i="1"/>
  <c r="V383" i="1"/>
  <c r="V384" i="1"/>
  <c r="V385" i="1"/>
  <c r="U385" i="1" s="1"/>
  <c r="V386" i="1"/>
  <c r="U386" i="1" s="1"/>
  <c r="V387" i="1"/>
  <c r="U387" i="1" s="1"/>
  <c r="V388" i="1"/>
  <c r="V389" i="1"/>
  <c r="U389" i="1" s="1"/>
  <c r="V390" i="1"/>
  <c r="V391" i="1"/>
  <c r="V392" i="1"/>
  <c r="V393" i="1"/>
  <c r="U393" i="1" s="1"/>
  <c r="V394" i="1"/>
  <c r="U394" i="1" s="1"/>
  <c r="V395" i="1"/>
  <c r="U395" i="1" s="1"/>
  <c r="V396" i="1"/>
  <c r="U396" i="1" s="1"/>
  <c r="V397" i="1"/>
  <c r="V398" i="1"/>
  <c r="V399" i="1"/>
  <c r="U399" i="1" s="1"/>
  <c r="V400" i="1"/>
  <c r="V401" i="1"/>
  <c r="U401" i="1" s="1"/>
  <c r="V402" i="1"/>
  <c r="U402" i="1" s="1"/>
  <c r="V403" i="1"/>
  <c r="U403" i="1" s="1"/>
  <c r="V404" i="1"/>
  <c r="U404" i="1" s="1"/>
  <c r="V405" i="1"/>
  <c r="V406" i="1"/>
  <c r="V407" i="1"/>
  <c r="U407" i="1" s="1"/>
  <c r="V408" i="1"/>
  <c r="V409" i="1"/>
  <c r="U409" i="1" s="1"/>
  <c r="V410" i="1"/>
  <c r="U410" i="1" s="1"/>
  <c r="V411" i="1"/>
  <c r="U411" i="1" s="1"/>
  <c r="V412" i="1"/>
  <c r="V413" i="1"/>
  <c r="U413" i="1" s="1"/>
  <c r="V414" i="1"/>
  <c r="V415" i="1"/>
  <c r="U415" i="1" s="1"/>
  <c r="V416" i="1"/>
  <c r="V417" i="1"/>
  <c r="U417" i="1" s="1"/>
  <c r="V418" i="1"/>
  <c r="U418" i="1" s="1"/>
  <c r="V419" i="1"/>
  <c r="U419" i="1" s="1"/>
  <c r="V420" i="1"/>
  <c r="V421" i="1"/>
  <c r="U421" i="1" s="1"/>
  <c r="V422" i="1"/>
  <c r="V423" i="1"/>
  <c r="U423" i="1" s="1"/>
  <c r="V424" i="1"/>
  <c r="V425" i="1"/>
  <c r="U425" i="1" s="1"/>
  <c r="V426" i="1"/>
  <c r="U426" i="1" s="1"/>
  <c r="V427" i="1"/>
  <c r="U427" i="1" s="1"/>
  <c r="V428" i="1"/>
  <c r="U428" i="1" s="1"/>
  <c r="V429" i="1"/>
  <c r="U429" i="1" s="1"/>
  <c r="V430" i="1"/>
  <c r="V431" i="1"/>
  <c r="V432" i="1"/>
  <c r="V433" i="1"/>
  <c r="U433" i="1" s="1"/>
  <c r="V434" i="1"/>
  <c r="U434" i="1" s="1"/>
  <c r="V435" i="1"/>
  <c r="U435" i="1" s="1"/>
  <c r="V436" i="1"/>
  <c r="V437" i="1"/>
  <c r="U437" i="1" s="1"/>
  <c r="V438" i="1"/>
  <c r="V439" i="1"/>
  <c r="U439" i="1" s="1"/>
  <c r="V440" i="1"/>
  <c r="V441" i="1"/>
  <c r="U441" i="1" s="1"/>
  <c r="V442" i="1"/>
  <c r="U442" i="1" s="1"/>
  <c r="V443" i="1"/>
  <c r="U443" i="1" s="1"/>
  <c r="V444" i="1"/>
  <c r="V445" i="1"/>
  <c r="V446" i="1"/>
  <c r="V447" i="1"/>
  <c r="V448" i="1"/>
  <c r="V449" i="1"/>
  <c r="U449" i="1" s="1"/>
  <c r="V450" i="1"/>
  <c r="U450" i="1" s="1"/>
  <c r="V451" i="1"/>
  <c r="U451" i="1" s="1"/>
  <c r="V452" i="1"/>
  <c r="V453" i="1"/>
  <c r="U453" i="1" s="1"/>
  <c r="V454" i="1"/>
  <c r="V455" i="1"/>
  <c r="V456" i="1"/>
  <c r="V457" i="1"/>
  <c r="U457" i="1" s="1"/>
  <c r="V458" i="1"/>
  <c r="U458" i="1" s="1"/>
  <c r="V459" i="1"/>
  <c r="U459" i="1" s="1"/>
  <c r="V460" i="1"/>
  <c r="U460" i="1" s="1"/>
  <c r="V461" i="1"/>
  <c r="V462" i="1"/>
  <c r="V463" i="1"/>
  <c r="U463" i="1" s="1"/>
  <c r="V464" i="1"/>
  <c r="V465" i="1"/>
  <c r="U465" i="1" s="1"/>
  <c r="V466" i="1"/>
  <c r="U466" i="1" s="1"/>
  <c r="V467" i="1"/>
  <c r="U467" i="1" s="1"/>
  <c r="V468" i="1"/>
  <c r="U468" i="1" s="1"/>
  <c r="V469" i="1"/>
  <c r="V470" i="1"/>
  <c r="V471" i="1"/>
  <c r="U471" i="1" s="1"/>
  <c r="V472" i="1"/>
  <c r="V473" i="1"/>
  <c r="U473" i="1" s="1"/>
  <c r="V474" i="1"/>
  <c r="U474" i="1" s="1"/>
  <c r="V475" i="1"/>
  <c r="U475" i="1" s="1"/>
  <c r="V476" i="1"/>
  <c r="V477" i="1"/>
  <c r="U477" i="1" s="1"/>
  <c r="V478" i="1"/>
  <c r="V479" i="1"/>
  <c r="U479" i="1" s="1"/>
  <c r="V480" i="1"/>
  <c r="V481" i="1"/>
  <c r="U481" i="1" s="1"/>
  <c r="V482" i="1"/>
  <c r="U482" i="1" s="1"/>
  <c r="V483" i="1"/>
  <c r="U483" i="1" s="1"/>
  <c r="V484" i="1"/>
  <c r="V485" i="1"/>
  <c r="U485" i="1" s="1"/>
  <c r="V486" i="1"/>
  <c r="V487" i="1"/>
  <c r="U487" i="1" s="1"/>
  <c r="V488" i="1"/>
  <c r="V489" i="1"/>
  <c r="U489" i="1" s="1"/>
  <c r="V490" i="1"/>
  <c r="U490" i="1" s="1"/>
  <c r="V491" i="1"/>
  <c r="U491" i="1" s="1"/>
  <c r="V492" i="1"/>
  <c r="U492" i="1" s="1"/>
  <c r="V493" i="1"/>
  <c r="U493" i="1" s="1"/>
  <c r="V494" i="1"/>
  <c r="V495" i="1"/>
  <c r="V496" i="1"/>
  <c r="V497" i="1"/>
  <c r="U497" i="1" s="1"/>
  <c r="V498" i="1"/>
  <c r="U498" i="1" s="1"/>
  <c r="V499" i="1"/>
  <c r="U499" i="1" s="1"/>
  <c r="V500" i="1"/>
  <c r="U2" i="1"/>
  <c r="U5" i="1"/>
  <c r="U7" i="1"/>
  <c r="U8" i="1"/>
  <c r="U9" i="1"/>
  <c r="U13" i="1"/>
  <c r="U14" i="1"/>
  <c r="U15" i="1"/>
  <c r="U22" i="1"/>
  <c r="U24" i="1"/>
  <c r="U25" i="1"/>
  <c r="U30" i="1"/>
  <c r="U32" i="1"/>
  <c r="U36" i="1"/>
  <c r="U38" i="1"/>
  <c r="U40" i="1"/>
  <c r="U44" i="1"/>
  <c r="U46" i="1"/>
  <c r="U47" i="1"/>
  <c r="U48" i="1"/>
  <c r="U52" i="1"/>
  <c r="U54" i="1"/>
  <c r="U56" i="1"/>
  <c r="U60" i="1"/>
  <c r="U61" i="1"/>
  <c r="U62" i="1"/>
  <c r="U63" i="1"/>
  <c r="U64" i="1"/>
  <c r="U68" i="1"/>
  <c r="U70" i="1"/>
  <c r="U72" i="1"/>
  <c r="U76" i="1"/>
  <c r="U77" i="1"/>
  <c r="U78" i="1"/>
  <c r="U80" i="1"/>
  <c r="U84" i="1"/>
  <c r="U86" i="1"/>
  <c r="U88" i="1"/>
  <c r="U92" i="1"/>
  <c r="U94" i="1"/>
  <c r="U96" i="1"/>
  <c r="U100" i="1"/>
  <c r="U102" i="1"/>
  <c r="U104" i="1"/>
  <c r="U108" i="1"/>
  <c r="U110" i="1"/>
  <c r="U111" i="1"/>
  <c r="U112" i="1"/>
  <c r="U116" i="1"/>
  <c r="U118" i="1"/>
  <c r="U120" i="1"/>
  <c r="U124" i="1"/>
  <c r="U125" i="1"/>
  <c r="U126" i="1"/>
  <c r="U127" i="1"/>
  <c r="U128" i="1"/>
  <c r="U132" i="1"/>
  <c r="U134" i="1"/>
  <c r="U136" i="1"/>
  <c r="U141" i="1"/>
  <c r="U142" i="1"/>
  <c r="U144" i="1"/>
  <c r="U148" i="1"/>
  <c r="U150" i="1"/>
  <c r="U152" i="1"/>
  <c r="U156" i="1"/>
  <c r="U158" i="1"/>
  <c r="U160" i="1"/>
  <c r="U164" i="1"/>
  <c r="U166" i="1"/>
  <c r="U168" i="1"/>
  <c r="U172" i="1"/>
  <c r="U174" i="1"/>
  <c r="U175" i="1"/>
  <c r="U176" i="1"/>
  <c r="U180" i="1"/>
  <c r="U182" i="1"/>
  <c r="U184" i="1"/>
  <c r="U188" i="1"/>
  <c r="U189" i="1"/>
  <c r="U190" i="1"/>
  <c r="U191" i="1"/>
  <c r="U192" i="1"/>
  <c r="U196" i="1"/>
  <c r="U198" i="1"/>
  <c r="U200" i="1"/>
  <c r="U205" i="1"/>
  <c r="U206" i="1"/>
  <c r="U208" i="1"/>
  <c r="U212" i="1"/>
  <c r="U214" i="1"/>
  <c r="U216" i="1"/>
  <c r="U220" i="1"/>
  <c r="U222" i="1"/>
  <c r="U224" i="1"/>
  <c r="U228" i="1"/>
  <c r="U230" i="1"/>
  <c r="U232" i="1"/>
  <c r="U236" i="1"/>
  <c r="U238" i="1"/>
  <c r="U239" i="1"/>
  <c r="U240" i="1"/>
  <c r="U244" i="1"/>
  <c r="U246" i="1"/>
  <c r="U248" i="1"/>
  <c r="U252" i="1"/>
  <c r="U253" i="1"/>
  <c r="U254" i="1"/>
  <c r="U255" i="1"/>
  <c r="U256" i="1"/>
  <c r="U260" i="1"/>
  <c r="U262" i="1"/>
  <c r="U264" i="1"/>
  <c r="U269" i="1"/>
  <c r="U270" i="1"/>
  <c r="U272" i="1"/>
  <c r="U276" i="1"/>
  <c r="U278" i="1"/>
  <c r="U280" i="1"/>
  <c r="U284" i="1"/>
  <c r="U286" i="1"/>
  <c r="U288" i="1"/>
  <c r="U292" i="1"/>
  <c r="U294" i="1"/>
  <c r="U296" i="1"/>
  <c r="U300" i="1"/>
  <c r="U302" i="1"/>
  <c r="U303" i="1"/>
  <c r="U304" i="1"/>
  <c r="U308" i="1"/>
  <c r="U310" i="1"/>
  <c r="U312" i="1"/>
  <c r="U316" i="1"/>
  <c r="U317" i="1"/>
  <c r="U318" i="1"/>
  <c r="U319" i="1"/>
  <c r="U320" i="1"/>
  <c r="U324" i="1"/>
  <c r="U326" i="1"/>
  <c r="U327" i="1"/>
  <c r="U328" i="1"/>
  <c r="U333" i="1"/>
  <c r="U334" i="1"/>
  <c r="U336" i="1"/>
  <c r="U341" i="1"/>
  <c r="U342" i="1"/>
  <c r="U344" i="1"/>
  <c r="U348" i="1"/>
  <c r="U350" i="1"/>
  <c r="U352" i="1"/>
  <c r="U356" i="1"/>
  <c r="U358" i="1"/>
  <c r="U360" i="1"/>
  <c r="U366" i="1"/>
  <c r="U367" i="1"/>
  <c r="U368" i="1"/>
  <c r="U372" i="1"/>
  <c r="U374" i="1"/>
  <c r="U376" i="1"/>
  <c r="U380" i="1"/>
  <c r="U381" i="1"/>
  <c r="U382" i="1"/>
  <c r="U383" i="1"/>
  <c r="U384" i="1"/>
  <c r="U388" i="1"/>
  <c r="U390" i="1"/>
  <c r="U391" i="1"/>
  <c r="U392" i="1"/>
  <c r="U397" i="1"/>
  <c r="U398" i="1"/>
  <c r="U400" i="1"/>
  <c r="U405" i="1"/>
  <c r="U406" i="1"/>
  <c r="U408" i="1"/>
  <c r="U412" i="1"/>
  <c r="U414" i="1"/>
  <c r="U416" i="1"/>
  <c r="U420" i="1"/>
  <c r="U422" i="1"/>
  <c r="U424" i="1"/>
  <c r="U430" i="1"/>
  <c r="U431" i="1"/>
  <c r="U432" i="1"/>
  <c r="U436" i="1"/>
  <c r="U438" i="1"/>
  <c r="U440" i="1"/>
  <c r="U444" i="1"/>
  <c r="U445" i="1"/>
  <c r="U446" i="1"/>
  <c r="U447" i="1"/>
  <c r="U448" i="1"/>
  <c r="U452" i="1"/>
  <c r="U454" i="1"/>
  <c r="U455" i="1"/>
  <c r="U456" i="1"/>
  <c r="U461" i="1"/>
  <c r="U462" i="1"/>
  <c r="U464" i="1"/>
  <c r="U469" i="1"/>
  <c r="U470" i="1"/>
  <c r="U472" i="1"/>
  <c r="U476" i="1"/>
  <c r="U478" i="1"/>
  <c r="U480" i="1"/>
  <c r="U484" i="1"/>
  <c r="U486" i="1"/>
  <c r="U488" i="1"/>
  <c r="U494" i="1"/>
  <c r="U495" i="1"/>
  <c r="U496" i="1"/>
  <c r="U500" i="1"/>
  <c r="V4" i="1"/>
  <c r="U4" i="1" s="1"/>
  <c r="V3" i="1"/>
  <c r="U3" i="1" s="1"/>
  <c r="V2" i="1"/>
  <c r="C3" i="1"/>
  <c r="C4" i="1"/>
  <c r="C5" i="1"/>
  <c r="C6" i="1"/>
  <c r="C7" i="1"/>
  <c r="C8" i="1"/>
  <c r="C9" i="1"/>
  <c r="C10" i="1"/>
  <c r="C11" i="1"/>
  <c r="C12" i="1"/>
  <c r="C13" i="1"/>
  <c r="C14" i="1"/>
  <c r="C15" i="1"/>
  <c r="C16" i="1"/>
  <c r="C17" i="1"/>
  <c r="C18" i="1"/>
  <c r="C19" i="1"/>
  <c r="C20" i="1"/>
  <c r="C21" i="1"/>
  <c r="C22" i="1"/>
  <c r="C23" i="1"/>
  <c r="C24" i="1"/>
  <c r="C25" i="1"/>
  <c r="C26" i="1"/>
  <c r="C27" i="1"/>
  <c r="C28"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2" i="1"/>
  <c r="H3" i="1"/>
  <c r="H4" i="1"/>
  <c r="H5" i="1"/>
  <c r="H6" i="1"/>
  <c r="H7" i="1"/>
  <c r="H8" i="1"/>
  <c r="H9" i="1"/>
  <c r="H10" i="1"/>
  <c r="H11" i="1"/>
  <c r="H12" i="1"/>
  <c r="H13" i="1"/>
  <c r="H14" i="1"/>
  <c r="H15" i="1"/>
  <c r="H16" i="1"/>
  <c r="H17" i="1"/>
  <c r="H18" i="1"/>
  <c r="H19" i="1"/>
  <c r="H20" i="1"/>
  <c r="H21" i="1"/>
  <c r="H22" i="1"/>
  <c r="H23" i="1"/>
  <c r="H24" i="1"/>
  <c r="H25" i="1"/>
  <c r="H26" i="1"/>
  <c r="H27" i="1"/>
  <c r="H28"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R74" i="1" s="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2" i="1"/>
  <c r="F3" i="1"/>
  <c r="F4" i="1"/>
  <c r="F5" i="1"/>
  <c r="F6" i="1"/>
  <c r="F7" i="1"/>
  <c r="F8" i="1"/>
  <c r="F9" i="1"/>
  <c r="F10" i="1"/>
  <c r="F11" i="1"/>
  <c r="F12" i="1"/>
  <c r="F13" i="1"/>
  <c r="F14" i="1"/>
  <c r="F15" i="1"/>
  <c r="F16" i="1"/>
  <c r="F17" i="1"/>
  <c r="F18" i="1"/>
  <c r="F19" i="1"/>
  <c r="F20" i="1"/>
  <c r="F21" i="1"/>
  <c r="F22" i="1"/>
  <c r="F23" i="1"/>
  <c r="F24" i="1"/>
  <c r="F25" i="1"/>
  <c r="F26" i="1"/>
  <c r="F27" i="1"/>
  <c r="F28"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2" i="1"/>
  <c r="Q3" i="1"/>
  <c r="Q4" i="1"/>
  <c r="Q5" i="1"/>
  <c r="Q6" i="1"/>
  <c r="Q7" i="1"/>
  <c r="Q8" i="1"/>
  <c r="Q9" i="1"/>
  <c r="Q10" i="1"/>
  <c r="Q11" i="1"/>
  <c r="Q12" i="1"/>
  <c r="Q13" i="1"/>
  <c r="Q14" i="1"/>
  <c r="Q15" i="1"/>
  <c r="Q16" i="1"/>
  <c r="Q17" i="1"/>
  <c r="Q18" i="1"/>
  <c r="Q19" i="1"/>
  <c r="Q20" i="1"/>
  <c r="Q21" i="1"/>
  <c r="Q22" i="1"/>
  <c r="Q23" i="1"/>
  <c r="Q24" i="1"/>
  <c r="Q25" i="1"/>
  <c r="Q26" i="1"/>
  <c r="Q27" i="1"/>
  <c r="Q28"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2" i="1"/>
  <c r="R119" i="1" l="1"/>
  <c r="AD119" i="1" s="1"/>
  <c r="R79" i="1"/>
  <c r="AE79" i="1" s="1"/>
  <c r="R6" i="1"/>
  <c r="AD6" i="1" s="1"/>
  <c r="R110" i="1"/>
  <c r="AB110" i="1" s="1"/>
  <c r="S111" i="1"/>
  <c r="AA74" i="1"/>
  <c r="AB74" i="1"/>
  <c r="AC74" i="1"/>
  <c r="AD74" i="1"/>
  <c r="AH74" i="1"/>
  <c r="AE74" i="1"/>
  <c r="AF74" i="1"/>
  <c r="AG74" i="1"/>
  <c r="Z74" i="1"/>
  <c r="R281" i="1"/>
  <c r="R273" i="1"/>
  <c r="R225" i="1"/>
  <c r="R174" i="1"/>
  <c r="R397" i="1"/>
  <c r="R472" i="1"/>
  <c r="S78" i="1"/>
  <c r="S225" i="1"/>
  <c r="R80" i="1"/>
  <c r="R104" i="1"/>
  <c r="S57" i="1"/>
  <c r="R302" i="1"/>
  <c r="R366" i="1"/>
  <c r="R247" i="1"/>
  <c r="R279" i="1"/>
  <c r="R430" i="1"/>
  <c r="R179" i="1"/>
  <c r="R156" i="1"/>
  <c r="R188" i="1"/>
  <c r="R204" i="1"/>
  <c r="R212" i="1"/>
  <c r="R220" i="1"/>
  <c r="R298" i="1"/>
  <c r="R306" i="1"/>
  <c r="R378" i="1"/>
  <c r="R227" i="1"/>
  <c r="R482" i="1"/>
  <c r="R490" i="1"/>
  <c r="R127" i="1"/>
  <c r="S206" i="1"/>
  <c r="S384" i="1"/>
  <c r="S144" i="1"/>
  <c r="R381" i="1"/>
  <c r="S457" i="1"/>
  <c r="R469" i="1"/>
  <c r="R485" i="1"/>
  <c r="R199" i="1"/>
  <c r="R81" i="1"/>
  <c r="S89" i="1"/>
  <c r="R272" i="1"/>
  <c r="R395" i="1"/>
  <c r="S450" i="1"/>
  <c r="R7" i="1"/>
  <c r="R34" i="1"/>
  <c r="R42" i="1"/>
  <c r="R46" i="1"/>
  <c r="R50" i="1"/>
  <c r="R153" i="1"/>
  <c r="R193" i="1"/>
  <c r="R197" i="1"/>
  <c r="R209" i="1"/>
  <c r="R328" i="1"/>
  <c r="R356" i="1"/>
  <c r="R360" i="1"/>
  <c r="R364" i="1"/>
  <c r="R368" i="1"/>
  <c r="R98" i="1"/>
  <c r="R496" i="1"/>
  <c r="R383" i="1"/>
  <c r="R232" i="1"/>
  <c r="R222" i="1"/>
  <c r="R137" i="1"/>
  <c r="S288" i="1"/>
  <c r="R87" i="1"/>
  <c r="R185" i="1"/>
  <c r="R301" i="1"/>
  <c r="R450" i="1"/>
  <c r="R53" i="1"/>
  <c r="R190" i="1"/>
  <c r="R318" i="1"/>
  <c r="R354" i="1"/>
  <c r="R408" i="1"/>
  <c r="R412" i="1"/>
  <c r="R448" i="1"/>
  <c r="S467" i="1"/>
  <c r="S366" i="1"/>
  <c r="S62" i="1"/>
  <c r="R105" i="1"/>
  <c r="R116" i="1"/>
  <c r="R144" i="1"/>
  <c r="R213" i="1"/>
  <c r="R311" i="1"/>
  <c r="R319" i="1"/>
  <c r="R456" i="1"/>
  <c r="S157" i="1"/>
  <c r="S182" i="1"/>
  <c r="S310" i="1"/>
  <c r="S498" i="1"/>
  <c r="R4" i="1"/>
  <c r="S56" i="1"/>
  <c r="R77" i="1"/>
  <c r="S82" i="1"/>
  <c r="R239" i="1"/>
  <c r="S287" i="1"/>
  <c r="R413" i="1"/>
  <c r="R429" i="1"/>
  <c r="S7" i="1"/>
  <c r="S127" i="1"/>
  <c r="S220" i="1"/>
  <c r="S240" i="1"/>
  <c r="R353" i="1"/>
  <c r="R398" i="1"/>
  <c r="R416" i="1"/>
  <c r="S418" i="1"/>
  <c r="R424" i="1"/>
  <c r="R453" i="1"/>
  <c r="R474" i="1"/>
  <c r="S482" i="1"/>
  <c r="R497" i="1"/>
  <c r="R26" i="1"/>
  <c r="S33" i="1"/>
  <c r="S91" i="1"/>
  <c r="S125" i="1"/>
  <c r="S143" i="1"/>
  <c r="R200" i="1"/>
  <c r="S223" i="1"/>
  <c r="S227" i="1"/>
  <c r="R238" i="1"/>
  <c r="S243" i="1"/>
  <c r="R280" i="1"/>
  <c r="S112" i="1"/>
  <c r="S114" i="1"/>
  <c r="S198" i="1"/>
  <c r="S216" i="1"/>
  <c r="S256" i="1"/>
  <c r="R262" i="1"/>
  <c r="S270" i="1"/>
  <c r="R278" i="1"/>
  <c r="R296" i="1"/>
  <c r="S312" i="1"/>
  <c r="S386" i="1"/>
  <c r="S406" i="1"/>
  <c r="R419" i="1"/>
  <c r="S31" i="1"/>
  <c r="S149" i="1"/>
  <c r="S178" i="1"/>
  <c r="S218" i="1"/>
  <c r="S221" i="1"/>
  <c r="R333" i="1"/>
  <c r="S359" i="1"/>
  <c r="R389" i="1"/>
  <c r="R438" i="1"/>
  <c r="R464" i="1"/>
  <c r="S478" i="1"/>
  <c r="S431" i="1"/>
  <c r="R467" i="1"/>
  <c r="S95" i="1"/>
  <c r="R113" i="1"/>
  <c r="S121" i="1"/>
  <c r="R142" i="1"/>
  <c r="S186" i="1"/>
  <c r="R206" i="1"/>
  <c r="R216" i="1"/>
  <c r="S231" i="1"/>
  <c r="S247" i="1"/>
  <c r="R294" i="1"/>
  <c r="S302" i="1"/>
  <c r="R312" i="1"/>
  <c r="S436" i="1"/>
  <c r="S489" i="1"/>
  <c r="S3" i="1"/>
  <c r="R14" i="1"/>
  <c r="R18" i="1"/>
  <c r="S63" i="1"/>
  <c r="R145" i="1"/>
  <c r="S183" i="1"/>
  <c r="S278" i="1"/>
  <c r="R320" i="1"/>
  <c r="R341" i="1"/>
  <c r="R349" i="1"/>
  <c r="S360" i="1"/>
  <c r="R362" i="1"/>
  <c r="R367" i="1"/>
  <c r="R394" i="1"/>
  <c r="S403" i="1"/>
  <c r="R420" i="1"/>
  <c r="S433" i="1"/>
  <c r="S456" i="1"/>
  <c r="R458" i="1"/>
  <c r="S462" i="1"/>
  <c r="S466" i="1"/>
  <c r="R494" i="1"/>
  <c r="S40" i="1"/>
  <c r="R73" i="1"/>
  <c r="S93" i="1"/>
  <c r="R97" i="1"/>
  <c r="S106" i="1"/>
  <c r="R108" i="1"/>
  <c r="S134" i="1"/>
  <c r="S151" i="1"/>
  <c r="S162" i="1"/>
  <c r="S164" i="1"/>
  <c r="S166" i="1"/>
  <c r="S213" i="1"/>
  <c r="S254" i="1"/>
  <c r="S258" i="1"/>
  <c r="S390" i="1"/>
  <c r="S405" i="1"/>
  <c r="R414" i="1"/>
  <c r="S441" i="1"/>
  <c r="S483" i="1"/>
  <c r="S494" i="1"/>
  <c r="S499" i="1"/>
  <c r="S180" i="1"/>
  <c r="R182" i="1"/>
  <c r="S199" i="1"/>
  <c r="S202" i="1"/>
  <c r="S204" i="1"/>
  <c r="S219" i="1"/>
  <c r="R231" i="1"/>
  <c r="S239" i="1"/>
  <c r="R289" i="1"/>
  <c r="S296" i="1"/>
  <c r="S311" i="1"/>
  <c r="S328" i="1"/>
  <c r="R336" i="1"/>
  <c r="R338" i="1"/>
  <c r="R369" i="1"/>
  <c r="R379" i="1"/>
  <c r="R409" i="1"/>
  <c r="R411" i="1"/>
  <c r="S413" i="1"/>
  <c r="S113" i="1"/>
  <c r="S18" i="1"/>
  <c r="R22" i="1"/>
  <c r="S43" i="1"/>
  <c r="R49" i="1"/>
  <c r="S54" i="1"/>
  <c r="R63" i="1"/>
  <c r="S88" i="1"/>
  <c r="R103" i="1"/>
  <c r="R148" i="1"/>
  <c r="R157" i="1"/>
  <c r="R219" i="1"/>
  <c r="S255" i="1"/>
  <c r="S279" i="1"/>
  <c r="S286" i="1"/>
  <c r="S324" i="1"/>
  <c r="R342" i="1"/>
  <c r="S344" i="1"/>
  <c r="R346" i="1"/>
  <c r="R348" i="1"/>
  <c r="R387" i="1"/>
  <c r="R393" i="1"/>
  <c r="S395" i="1"/>
  <c r="R465" i="1"/>
  <c r="S99" i="1"/>
  <c r="S119" i="1"/>
  <c r="R19" i="1"/>
  <c r="R37" i="1"/>
  <c r="S64" i="1"/>
  <c r="R66" i="1"/>
  <c r="S135" i="1"/>
  <c r="S159" i="1"/>
  <c r="R161" i="1"/>
  <c r="R165" i="1"/>
  <c r="S167" i="1"/>
  <c r="R169" i="1"/>
  <c r="S171" i="1"/>
  <c r="S173" i="1"/>
  <c r="S200" i="1"/>
  <c r="S265" i="1"/>
  <c r="R274" i="1"/>
  <c r="S280" i="1"/>
  <c r="R295" i="1"/>
  <c r="S340" i="1"/>
  <c r="S350" i="1"/>
  <c r="S368" i="1"/>
  <c r="R427" i="1"/>
  <c r="S438" i="1"/>
  <c r="R442" i="1"/>
  <c r="S497" i="1"/>
  <c r="S9" i="1"/>
  <c r="R11" i="1"/>
  <c r="R23" i="1"/>
  <c r="R27" i="1"/>
  <c r="R31" i="1"/>
  <c r="R55" i="1"/>
  <c r="R57" i="1"/>
  <c r="S66" i="1"/>
  <c r="S74" i="1"/>
  <c r="R89" i="1"/>
  <c r="R111" i="1"/>
  <c r="R112" i="1"/>
  <c r="S133" i="1"/>
  <c r="S137" i="1"/>
  <c r="R141" i="1"/>
  <c r="R143" i="1"/>
  <c r="S190" i="1"/>
  <c r="R196" i="1"/>
  <c r="S197" i="1"/>
  <c r="R201" i="1"/>
  <c r="S271" i="1"/>
  <c r="S274" i="1"/>
  <c r="R310" i="1"/>
  <c r="S318" i="1"/>
  <c r="S321" i="1"/>
  <c r="S372" i="1"/>
  <c r="R374" i="1"/>
  <c r="R376" i="1"/>
  <c r="S397" i="1"/>
  <c r="S398" i="1"/>
  <c r="S442" i="1"/>
  <c r="S490" i="1"/>
  <c r="S491" i="1"/>
  <c r="R498" i="1"/>
  <c r="S72" i="1"/>
  <c r="R72" i="1"/>
  <c r="S48" i="1"/>
  <c r="R48" i="1"/>
  <c r="S71" i="1"/>
  <c r="R71" i="1"/>
  <c r="S123" i="1"/>
  <c r="S8" i="1"/>
  <c r="S30" i="1"/>
  <c r="R129" i="1"/>
  <c r="R84" i="1"/>
  <c r="R102" i="1"/>
  <c r="S24" i="1"/>
  <c r="R24" i="1"/>
  <c r="R95" i="1"/>
  <c r="R13" i="1"/>
  <c r="R58" i="1"/>
  <c r="S4" i="1"/>
  <c r="R9" i="1"/>
  <c r="R20" i="1"/>
  <c r="S23" i="1"/>
  <c r="S27" i="1"/>
  <c r="R28" i="1"/>
  <c r="R35" i="1"/>
  <c r="S39" i="1"/>
  <c r="R56" i="1"/>
  <c r="S70" i="1"/>
  <c r="R86" i="1"/>
  <c r="S97" i="1"/>
  <c r="S98" i="1"/>
  <c r="S136" i="1"/>
  <c r="S140" i="1"/>
  <c r="S150" i="1"/>
  <c r="S165" i="1"/>
  <c r="S170" i="1"/>
  <c r="S172" i="1"/>
  <c r="S181" i="1"/>
  <c r="R184" i="1"/>
  <c r="R194" i="1"/>
  <c r="R256" i="1"/>
  <c r="S263" i="1"/>
  <c r="R263" i="1"/>
  <c r="R288" i="1"/>
  <c r="R314" i="1"/>
  <c r="S314" i="1"/>
  <c r="S330" i="1"/>
  <c r="R330" i="1"/>
  <c r="S339" i="1"/>
  <c r="R339" i="1"/>
  <c r="R380" i="1"/>
  <c r="S6" i="1"/>
  <c r="S16" i="1"/>
  <c r="S17" i="1"/>
  <c r="S19" i="1"/>
  <c r="S25" i="1"/>
  <c r="R41" i="1"/>
  <c r="R45" i="1"/>
  <c r="S47" i="1"/>
  <c r="S58" i="1"/>
  <c r="S61" i="1"/>
  <c r="R65" i="1"/>
  <c r="R78" i="1"/>
  <c r="R120" i="1"/>
  <c r="S158" i="1"/>
  <c r="S177" i="1"/>
  <c r="S196" i="1"/>
  <c r="S327" i="1"/>
  <c r="R327" i="1"/>
  <c r="S387" i="1"/>
  <c r="S304" i="1"/>
  <c r="R304" i="1"/>
  <c r="S14" i="1"/>
  <c r="S32" i="1"/>
  <c r="S34" i="1"/>
  <c r="S101" i="1"/>
  <c r="S141" i="1"/>
  <c r="S145" i="1"/>
  <c r="S163" i="1"/>
  <c r="R164" i="1"/>
  <c r="S174" i="1"/>
  <c r="R198" i="1"/>
  <c r="R233" i="1"/>
  <c r="S238" i="1"/>
  <c r="S249" i="1"/>
  <c r="R249" i="1"/>
  <c r="R270" i="1"/>
  <c r="R287" i="1"/>
  <c r="S294" i="1"/>
  <c r="S303" i="1"/>
  <c r="R303" i="1"/>
  <c r="R384" i="1"/>
  <c r="S412" i="1"/>
  <c r="S5" i="1"/>
  <c r="R8" i="1"/>
  <c r="S10" i="1"/>
  <c r="S28" i="1"/>
  <c r="R39" i="1"/>
  <c r="S50" i="1"/>
  <c r="S55" i="1"/>
  <c r="R64" i="1"/>
  <c r="R69" i="1"/>
  <c r="S77" i="1"/>
  <c r="S80" i="1"/>
  <c r="S81" i="1"/>
  <c r="R88" i="1"/>
  <c r="S105" i="1"/>
  <c r="R106" i="1"/>
  <c r="R114" i="1"/>
  <c r="R121" i="1"/>
  <c r="R134" i="1"/>
  <c r="R135" i="1"/>
  <c r="R136" i="1"/>
  <c r="R140" i="1"/>
  <c r="R150" i="1"/>
  <c r="R151" i="1"/>
  <c r="S153" i="1"/>
  <c r="R172" i="1"/>
  <c r="R180" i="1"/>
  <c r="R181" i="1"/>
  <c r="S188" i="1"/>
  <c r="S212" i="1"/>
  <c r="S272" i="1"/>
  <c r="R5" i="1"/>
  <c r="R16" i="1"/>
  <c r="R30" i="1"/>
  <c r="R33" i="1"/>
  <c r="R47" i="1"/>
  <c r="R61" i="1"/>
  <c r="S65" i="1"/>
  <c r="S87" i="1"/>
  <c r="S104" i="1"/>
  <c r="R118" i="1"/>
  <c r="S120" i="1"/>
  <c r="R123" i="1"/>
  <c r="S142" i="1"/>
  <c r="R158" i="1"/>
  <c r="R159" i="1"/>
  <c r="S161" i="1"/>
  <c r="R173" i="1"/>
  <c r="S176" i="1"/>
  <c r="R177" i="1"/>
  <c r="R192" i="1"/>
  <c r="S205" i="1"/>
  <c r="S209" i="1"/>
  <c r="S210" i="1"/>
  <c r="R242" i="1"/>
  <c r="S264" i="1"/>
  <c r="R264" i="1"/>
  <c r="S414" i="1"/>
  <c r="R440" i="1"/>
  <c r="S15" i="1"/>
  <c r="S42" i="1"/>
  <c r="R43" i="1"/>
  <c r="R62" i="1"/>
  <c r="S79" i="1"/>
  <c r="R91" i="1"/>
  <c r="R99" i="1"/>
  <c r="S129" i="1"/>
  <c r="R133" i="1"/>
  <c r="S156" i="1"/>
  <c r="R166" i="1"/>
  <c r="R167" i="1"/>
  <c r="S169" i="1"/>
  <c r="R202" i="1"/>
  <c r="R207" i="1"/>
  <c r="S235" i="1"/>
  <c r="R309" i="1"/>
  <c r="S347" i="1"/>
  <c r="R347" i="1"/>
  <c r="R377" i="1"/>
  <c r="S435" i="1"/>
  <c r="R435" i="1"/>
  <c r="S242" i="1"/>
  <c r="R271" i="1"/>
  <c r="S313" i="1"/>
  <c r="S320" i="1"/>
  <c r="R340" i="1"/>
  <c r="R344" i="1"/>
  <c r="R363" i="1"/>
  <c r="S374" i="1"/>
  <c r="S380" i="1"/>
  <c r="S416" i="1"/>
  <c r="S420" i="1"/>
  <c r="S426" i="1"/>
  <c r="R441" i="1"/>
  <c r="R459" i="1"/>
  <c r="S474" i="1"/>
  <c r="R480" i="1"/>
  <c r="S232" i="1"/>
  <c r="S241" i="1"/>
  <c r="S277" i="1"/>
  <c r="R286" i="1"/>
  <c r="S289" i="1"/>
  <c r="S346" i="1"/>
  <c r="S348" i="1"/>
  <c r="S352" i="1"/>
  <c r="S356" i="1"/>
  <c r="R370" i="1"/>
  <c r="S379" i="1"/>
  <c r="S402" i="1"/>
  <c r="R403" i="1"/>
  <c r="R425" i="1"/>
  <c r="S429" i="1"/>
  <c r="R433" i="1"/>
  <c r="R457" i="1"/>
  <c r="S458" i="1"/>
  <c r="S479" i="1"/>
  <c r="S488" i="1"/>
  <c r="R491" i="1"/>
  <c r="S496" i="1"/>
  <c r="S229" i="1"/>
  <c r="R235" i="1"/>
  <c r="S250" i="1"/>
  <c r="R254" i="1"/>
  <c r="R255" i="1"/>
  <c r="R258" i="1"/>
  <c r="R269" i="1"/>
  <c r="R290" i="1"/>
  <c r="S301" i="1"/>
  <c r="R317" i="1"/>
  <c r="S326" i="1"/>
  <c r="R332" i="1"/>
  <c r="R352" i="1"/>
  <c r="S354" i="1"/>
  <c r="R359" i="1"/>
  <c r="S367" i="1"/>
  <c r="S370" i="1"/>
  <c r="R373" i="1"/>
  <c r="S389" i="1"/>
  <c r="R390" i="1"/>
  <c r="R402" i="1"/>
  <c r="R405" i="1"/>
  <c r="S449" i="1"/>
  <c r="S463" i="1"/>
  <c r="S481" i="1"/>
  <c r="R483" i="1"/>
  <c r="S465" i="1"/>
  <c r="S305" i="1"/>
  <c r="S329" i="1"/>
  <c r="S376" i="1"/>
  <c r="S401" i="1"/>
  <c r="R466" i="1"/>
  <c r="S472" i="1"/>
  <c r="R489" i="1"/>
  <c r="R237" i="1"/>
  <c r="R240" i="1"/>
  <c r="R241" i="1"/>
  <c r="S262" i="1"/>
  <c r="S273" i="1"/>
  <c r="S276" i="1"/>
  <c r="S378" i="1"/>
  <c r="S381" i="1"/>
  <c r="R488" i="1"/>
  <c r="R495" i="1"/>
  <c r="S228" i="1"/>
  <c r="S233" i="1"/>
  <c r="S253" i="1"/>
  <c r="S281" i="1"/>
  <c r="S319" i="1"/>
  <c r="R326" i="1"/>
  <c r="S338" i="1"/>
  <c r="R345" i="1"/>
  <c r="S349" i="1"/>
  <c r="R350" i="1"/>
  <c r="R386" i="1"/>
  <c r="S394" i="1"/>
  <c r="S396" i="1"/>
  <c r="S404" i="1"/>
  <c r="R449" i="1"/>
  <c r="R475" i="1"/>
  <c r="R481" i="1"/>
  <c r="R499" i="1"/>
  <c r="R2" i="1"/>
  <c r="S2" i="1"/>
  <c r="S11" i="1"/>
  <c r="R12" i="1"/>
  <c r="S22" i="1"/>
  <c r="R25" i="1"/>
  <c r="S37" i="1"/>
  <c r="R40" i="1"/>
  <c r="S53" i="1"/>
  <c r="R54" i="1"/>
  <c r="S75" i="1"/>
  <c r="R75" i="1"/>
  <c r="S94" i="1"/>
  <c r="R94" i="1"/>
  <c r="R109" i="1"/>
  <c r="S109" i="1"/>
  <c r="S128" i="1"/>
  <c r="R128" i="1"/>
  <c r="S146" i="1"/>
  <c r="S160" i="1"/>
  <c r="R160" i="1"/>
  <c r="R38" i="1"/>
  <c r="S46" i="1"/>
  <c r="S52" i="1"/>
  <c r="R52" i="1"/>
  <c r="R115" i="1"/>
  <c r="S115" i="1"/>
  <c r="S168" i="1"/>
  <c r="R168" i="1"/>
  <c r="R3" i="1"/>
  <c r="R10" i="1"/>
  <c r="S20" i="1"/>
  <c r="S26" i="1"/>
  <c r="S35" i="1"/>
  <c r="S41" i="1"/>
  <c r="S51" i="1"/>
  <c r="R51" i="1"/>
  <c r="S73" i="1"/>
  <c r="S90" i="1"/>
  <c r="R90" i="1"/>
  <c r="R107" i="1"/>
  <c r="S107" i="1"/>
  <c r="S126" i="1"/>
  <c r="R126" i="1"/>
  <c r="S155" i="1"/>
  <c r="R155" i="1"/>
  <c r="S44" i="1"/>
  <c r="R44" i="1"/>
  <c r="S60" i="1"/>
  <c r="R60" i="1"/>
  <c r="S92" i="1"/>
  <c r="R92" i="1"/>
  <c r="S12" i="1"/>
  <c r="S13" i="1"/>
  <c r="R15" i="1"/>
  <c r="R17" i="1"/>
  <c r="R32" i="1"/>
  <c r="S45" i="1"/>
  <c r="S49" i="1"/>
  <c r="S59" i="1"/>
  <c r="R59" i="1"/>
  <c r="S69" i="1"/>
  <c r="R70" i="1"/>
  <c r="R85" i="1"/>
  <c r="S85" i="1"/>
  <c r="R132" i="1"/>
  <c r="S138" i="1"/>
  <c r="R138" i="1"/>
  <c r="R152" i="1"/>
  <c r="S152" i="1"/>
  <c r="S38" i="1"/>
  <c r="S68" i="1"/>
  <c r="R68" i="1"/>
  <c r="S100" i="1"/>
  <c r="R100" i="1"/>
  <c r="S122" i="1"/>
  <c r="R122" i="1"/>
  <c r="S124" i="1"/>
  <c r="R124" i="1"/>
  <c r="S67" i="1"/>
  <c r="R67" i="1"/>
  <c r="R83" i="1"/>
  <c r="S83" i="1"/>
  <c r="S96" i="1"/>
  <c r="R96" i="1"/>
  <c r="R130" i="1"/>
  <c r="S130" i="1"/>
  <c r="S21" i="1"/>
  <c r="R21" i="1"/>
  <c r="S36" i="1"/>
  <c r="R36" i="1"/>
  <c r="S76" i="1"/>
  <c r="R76" i="1"/>
  <c r="R82" i="1"/>
  <c r="S103" i="1"/>
  <c r="R117" i="1"/>
  <c r="S117" i="1"/>
  <c r="S102" i="1"/>
  <c r="R187" i="1"/>
  <c r="S195" i="1"/>
  <c r="R195" i="1"/>
  <c r="S110" i="1"/>
  <c r="S131" i="1"/>
  <c r="R131" i="1"/>
  <c r="S139" i="1"/>
  <c r="R139" i="1"/>
  <c r="R149" i="1"/>
  <c r="S217" i="1"/>
  <c r="R217" i="1"/>
  <c r="R93" i="1"/>
  <c r="S108" i="1"/>
  <c r="R125" i="1"/>
  <c r="S148" i="1"/>
  <c r="S154" i="1"/>
  <c r="S175" i="1"/>
  <c r="R175" i="1"/>
  <c r="S86" i="1"/>
  <c r="S118" i="1"/>
  <c r="S132" i="1"/>
  <c r="S189" i="1"/>
  <c r="S191" i="1"/>
  <c r="R191" i="1"/>
  <c r="R266" i="1"/>
  <c r="S266" i="1"/>
  <c r="S84" i="1"/>
  <c r="R101" i="1"/>
  <c r="S116" i="1"/>
  <c r="S147" i="1"/>
  <c r="R147" i="1"/>
  <c r="S184" i="1"/>
  <c r="S185" i="1"/>
  <c r="R163" i="1"/>
  <c r="R171" i="1"/>
  <c r="R178" i="1"/>
  <c r="S192" i="1"/>
  <c r="S193" i="1"/>
  <c r="S194" i="1"/>
  <c r="R146" i="1"/>
  <c r="R154" i="1"/>
  <c r="R162" i="1"/>
  <c r="R170" i="1"/>
  <c r="R176" i="1"/>
  <c r="R183" i="1"/>
  <c r="R189" i="1"/>
  <c r="R205" i="1"/>
  <c r="R210" i="1"/>
  <c r="S211" i="1"/>
  <c r="R186" i="1"/>
  <c r="S201" i="1"/>
  <c r="S207" i="1"/>
  <c r="S208" i="1"/>
  <c r="R208" i="1"/>
  <c r="S179" i="1"/>
  <c r="S222" i="1"/>
  <c r="S259" i="1"/>
  <c r="R259" i="1"/>
  <c r="S214" i="1"/>
  <c r="R214" i="1"/>
  <c r="S187" i="1"/>
  <c r="S203" i="1"/>
  <c r="R215" i="1"/>
  <c r="S224" i="1"/>
  <c r="R226" i="1"/>
  <c r="S246" i="1"/>
  <c r="R246" i="1"/>
  <c r="R251" i="1"/>
  <c r="S251" i="1"/>
  <c r="R203" i="1"/>
  <c r="R211" i="1"/>
  <c r="R228" i="1"/>
  <c r="S248" i="1"/>
  <c r="R248" i="1"/>
  <c r="R253" i="1"/>
  <c r="S322" i="1"/>
  <c r="R322" i="1"/>
  <c r="S215" i="1"/>
  <c r="R223" i="1"/>
  <c r="R224" i="1"/>
  <c r="S226" i="1"/>
  <c r="S257" i="1"/>
  <c r="R257" i="1"/>
  <c r="S365" i="1"/>
  <c r="R365" i="1"/>
  <c r="R230" i="1"/>
  <c r="S230" i="1"/>
  <c r="R282" i="1"/>
  <c r="S282" i="1"/>
  <c r="S297" i="1"/>
  <c r="R297" i="1"/>
  <c r="S307" i="1"/>
  <c r="R307" i="1"/>
  <c r="R218" i="1"/>
  <c r="R221" i="1"/>
  <c r="R229" i="1"/>
  <c r="R234" i="1"/>
  <c r="S236" i="1"/>
  <c r="R236" i="1"/>
  <c r="R250" i="1"/>
  <c r="R265" i="1"/>
  <c r="S268" i="1"/>
  <c r="R268" i="1"/>
  <c r="S323" i="1"/>
  <c r="R323" i="1"/>
  <c r="S234" i="1"/>
  <c r="S237" i="1"/>
  <c r="S244" i="1"/>
  <c r="R244" i="1"/>
  <c r="S261" i="1"/>
  <c r="S292" i="1"/>
  <c r="S293" i="1"/>
  <c r="S295" i="1"/>
  <c r="S337" i="1"/>
  <c r="R337" i="1"/>
  <c r="S375" i="1"/>
  <c r="R375" i="1"/>
  <c r="S252" i="1"/>
  <c r="R252" i="1"/>
  <c r="R277" i="1"/>
  <c r="S283" i="1"/>
  <c r="R283" i="1"/>
  <c r="S290" i="1"/>
  <c r="R305" i="1"/>
  <c r="S308" i="1"/>
  <c r="S309" i="1"/>
  <c r="S325" i="1"/>
  <c r="R325" i="1"/>
  <c r="S335" i="1"/>
  <c r="R335" i="1"/>
  <c r="S336" i="1"/>
  <c r="R358" i="1"/>
  <c r="S245" i="1"/>
  <c r="S284" i="1"/>
  <c r="S285" i="1"/>
  <c r="R243" i="1"/>
  <c r="R261" i="1"/>
  <c r="S267" i="1"/>
  <c r="R267" i="1"/>
  <c r="R293" i="1"/>
  <c r="S299" i="1"/>
  <c r="R299" i="1"/>
  <c r="S306" i="1"/>
  <c r="R321" i="1"/>
  <c r="S331" i="1"/>
  <c r="R331" i="1"/>
  <c r="S334" i="1"/>
  <c r="S275" i="1"/>
  <c r="R275" i="1"/>
  <c r="S300" i="1"/>
  <c r="S361" i="1"/>
  <c r="R361" i="1"/>
  <c r="S315" i="1"/>
  <c r="R315" i="1"/>
  <c r="S343" i="1"/>
  <c r="R343" i="1"/>
  <c r="R245" i="1"/>
  <c r="S260" i="1"/>
  <c r="R260" i="1"/>
  <c r="S269" i="1"/>
  <c r="R285" i="1"/>
  <c r="S291" i="1"/>
  <c r="R291" i="1"/>
  <c r="S298" i="1"/>
  <c r="R313" i="1"/>
  <c r="S316" i="1"/>
  <c r="S317" i="1"/>
  <c r="S355" i="1"/>
  <c r="R355" i="1"/>
  <c r="R423" i="1"/>
  <c r="S423" i="1"/>
  <c r="R276" i="1"/>
  <c r="R284" i="1"/>
  <c r="R292" i="1"/>
  <c r="R300" i="1"/>
  <c r="R308" i="1"/>
  <c r="R316" i="1"/>
  <c r="R329" i="1"/>
  <c r="S332" i="1"/>
  <c r="S333" i="1"/>
  <c r="S342" i="1"/>
  <c r="R324" i="1"/>
  <c r="S341" i="1"/>
  <c r="S345" i="1"/>
  <c r="S351" i="1"/>
  <c r="R351" i="1"/>
  <c r="S353" i="1"/>
  <c r="S388" i="1"/>
  <c r="R388" i="1"/>
  <c r="R334" i="1"/>
  <c r="S358" i="1"/>
  <c r="S373" i="1"/>
  <c r="S385" i="1"/>
  <c r="R385" i="1"/>
  <c r="S357" i="1"/>
  <c r="S371" i="1"/>
  <c r="S409" i="1"/>
  <c r="R401" i="1"/>
  <c r="R382" i="1"/>
  <c r="S382" i="1"/>
  <c r="S391" i="1"/>
  <c r="R391" i="1"/>
  <c r="R428" i="1"/>
  <c r="S428" i="1"/>
  <c r="S369" i="1"/>
  <c r="R372" i="1"/>
  <c r="S377" i="1"/>
  <c r="S383" i="1"/>
  <c r="S393" i="1"/>
  <c r="S421" i="1"/>
  <c r="R421" i="1"/>
  <c r="R422" i="1"/>
  <c r="S422" i="1"/>
  <c r="R357" i="1"/>
  <c r="R371" i="1"/>
  <c r="R396" i="1"/>
  <c r="S399" i="1"/>
  <c r="R399" i="1"/>
  <c r="S400" i="1"/>
  <c r="R400" i="1"/>
  <c r="R406" i="1"/>
  <c r="R451" i="1"/>
  <c r="S451" i="1"/>
  <c r="S362" i="1"/>
  <c r="S363" i="1"/>
  <c r="S364" i="1"/>
  <c r="R404" i="1"/>
  <c r="S407" i="1"/>
  <c r="R407" i="1"/>
  <c r="R410" i="1"/>
  <c r="S410" i="1"/>
  <c r="S427" i="1"/>
  <c r="S392" i="1"/>
  <c r="S419" i="1"/>
  <c r="S432" i="1"/>
  <c r="R432" i="1"/>
  <c r="S443" i="1"/>
  <c r="R443" i="1"/>
  <c r="S445" i="1"/>
  <c r="R445" i="1"/>
  <c r="R434" i="1"/>
  <c r="S434" i="1"/>
  <c r="S437" i="1"/>
  <c r="R437" i="1"/>
  <c r="S425" i="1"/>
  <c r="R444" i="1"/>
  <c r="S444" i="1"/>
  <c r="R392" i="1"/>
  <c r="S408" i="1"/>
  <c r="S411" i="1"/>
  <c r="R415" i="1"/>
  <c r="S415" i="1"/>
  <c r="R446" i="1"/>
  <c r="S446" i="1"/>
  <c r="S417" i="1"/>
  <c r="R417" i="1"/>
  <c r="S430" i="1"/>
  <c r="R473" i="1"/>
  <c r="S473" i="1"/>
  <c r="R418" i="1"/>
  <c r="R431" i="1"/>
  <c r="S455" i="1"/>
  <c r="S471" i="1"/>
  <c r="S424" i="1"/>
  <c r="R426" i="1"/>
  <c r="R436" i="1"/>
  <c r="S439" i="1"/>
  <c r="R439" i="1"/>
  <c r="R454" i="1"/>
  <c r="S454" i="1"/>
  <c r="S477" i="1"/>
  <c r="R477" i="1"/>
  <c r="R470" i="1"/>
  <c r="S470" i="1"/>
  <c r="S452" i="1"/>
  <c r="R452" i="1"/>
  <c r="S461" i="1"/>
  <c r="R461" i="1"/>
  <c r="R486" i="1"/>
  <c r="S486" i="1"/>
  <c r="S447" i="1"/>
  <c r="S460" i="1"/>
  <c r="R460" i="1"/>
  <c r="S476" i="1"/>
  <c r="R476" i="1"/>
  <c r="S493" i="1"/>
  <c r="R493" i="1"/>
  <c r="S459" i="1"/>
  <c r="R462" i="1"/>
  <c r="S475" i="1"/>
  <c r="R478" i="1"/>
  <c r="S492" i="1"/>
  <c r="R492" i="1"/>
  <c r="S500" i="1"/>
  <c r="R500" i="1"/>
  <c r="S468" i="1"/>
  <c r="R468" i="1"/>
  <c r="S484" i="1"/>
  <c r="R484" i="1"/>
  <c r="S440" i="1"/>
  <c r="S448" i="1"/>
  <c r="S453" i="1"/>
  <c r="S464" i="1"/>
  <c r="S469" i="1"/>
  <c r="S480" i="1"/>
  <c r="S485" i="1"/>
  <c r="S495" i="1"/>
  <c r="S487" i="1"/>
  <c r="R447" i="1"/>
  <c r="R455" i="1"/>
  <c r="R463" i="1"/>
  <c r="R471" i="1"/>
  <c r="R479" i="1"/>
  <c r="R487" i="1"/>
  <c r="Z119" i="1" l="1"/>
  <c r="AH79" i="1"/>
  <c r="AD79" i="1"/>
  <c r="AG119" i="1"/>
  <c r="AB79" i="1"/>
  <c r="AE119" i="1"/>
  <c r="AC119" i="1"/>
  <c r="AG6" i="1"/>
  <c r="AG79" i="1"/>
  <c r="AF79" i="1"/>
  <c r="AC79" i="1"/>
  <c r="AF119" i="1"/>
  <c r="Z79" i="1"/>
  <c r="AA79" i="1"/>
  <c r="AC6" i="1"/>
  <c r="AB119" i="1"/>
  <c r="AB6" i="1"/>
  <c r="AA119" i="1"/>
  <c r="Z6" i="1"/>
  <c r="AA6" i="1"/>
  <c r="AH119" i="1"/>
  <c r="AF6" i="1"/>
  <c r="AE6" i="1"/>
  <c r="AH6" i="1"/>
  <c r="AF110" i="1"/>
  <c r="AA110" i="1"/>
  <c r="AG110" i="1"/>
  <c r="AE110" i="1"/>
  <c r="AD110" i="1"/>
  <c r="Z110" i="1"/>
  <c r="AC110" i="1"/>
  <c r="AH110" i="1"/>
  <c r="AE415" i="1"/>
  <c r="AF415" i="1"/>
  <c r="AG415" i="1"/>
  <c r="AH415" i="1"/>
  <c r="AA415" i="1"/>
  <c r="AB415" i="1"/>
  <c r="AC415" i="1"/>
  <c r="AD415" i="1"/>
  <c r="Z415" i="1"/>
  <c r="AE404" i="1"/>
  <c r="AF404" i="1"/>
  <c r="AG404" i="1"/>
  <c r="AH404" i="1"/>
  <c r="AA404" i="1"/>
  <c r="AB404" i="1"/>
  <c r="AC404" i="1"/>
  <c r="AD404" i="1"/>
  <c r="Z404" i="1"/>
  <c r="AE421" i="1"/>
  <c r="AF421" i="1"/>
  <c r="AG421" i="1"/>
  <c r="AH421" i="1"/>
  <c r="AA421" i="1"/>
  <c r="AB421" i="1"/>
  <c r="AC421" i="1"/>
  <c r="AD421" i="1"/>
  <c r="Z421" i="1"/>
  <c r="AE428" i="1"/>
  <c r="AF428" i="1"/>
  <c r="AG428" i="1"/>
  <c r="AH428" i="1"/>
  <c r="AD428" i="1"/>
  <c r="AA428" i="1"/>
  <c r="AB428" i="1"/>
  <c r="AC428" i="1"/>
  <c r="Z428" i="1"/>
  <c r="AC291" i="1"/>
  <c r="AD291" i="1"/>
  <c r="AE291" i="1"/>
  <c r="AF291" i="1"/>
  <c r="AG291" i="1"/>
  <c r="AH291" i="1"/>
  <c r="AA291" i="1"/>
  <c r="AB291" i="1"/>
  <c r="Z291" i="1"/>
  <c r="AC267" i="1"/>
  <c r="AD267" i="1"/>
  <c r="AE267" i="1"/>
  <c r="AF267" i="1"/>
  <c r="AG267" i="1"/>
  <c r="AH267" i="1"/>
  <c r="AA267" i="1"/>
  <c r="AB267" i="1"/>
  <c r="Z267" i="1"/>
  <c r="AC337" i="1"/>
  <c r="AD337" i="1"/>
  <c r="AE337" i="1"/>
  <c r="AB337" i="1"/>
  <c r="AF337" i="1"/>
  <c r="AG337" i="1"/>
  <c r="AH337" i="1"/>
  <c r="AA337" i="1"/>
  <c r="Z337" i="1"/>
  <c r="AH236" i="1"/>
  <c r="AA236" i="1"/>
  <c r="AB236" i="1"/>
  <c r="AC236" i="1"/>
  <c r="AD236" i="1"/>
  <c r="AE236" i="1"/>
  <c r="AF236" i="1"/>
  <c r="AG236" i="1"/>
  <c r="Z236" i="1"/>
  <c r="AC297" i="1"/>
  <c r="AD297" i="1"/>
  <c r="AE297" i="1"/>
  <c r="AF297" i="1"/>
  <c r="AG297" i="1"/>
  <c r="AH297" i="1"/>
  <c r="AA297" i="1"/>
  <c r="AB297" i="1"/>
  <c r="Z297" i="1"/>
  <c r="AH257" i="1"/>
  <c r="AB257" i="1"/>
  <c r="AA257" i="1"/>
  <c r="AC257" i="1"/>
  <c r="AD257" i="1"/>
  <c r="AE257" i="1"/>
  <c r="AF257" i="1"/>
  <c r="AG257" i="1"/>
  <c r="Z257" i="1"/>
  <c r="AH253" i="1"/>
  <c r="AA253" i="1"/>
  <c r="AB253" i="1"/>
  <c r="AC253" i="1"/>
  <c r="AD253" i="1"/>
  <c r="AE253" i="1"/>
  <c r="AF253" i="1"/>
  <c r="AG253" i="1"/>
  <c r="Z253" i="1"/>
  <c r="AH246" i="1"/>
  <c r="AA246" i="1"/>
  <c r="AB246" i="1"/>
  <c r="AC246" i="1"/>
  <c r="AD246" i="1"/>
  <c r="AE246" i="1"/>
  <c r="AF246" i="1"/>
  <c r="AG246" i="1"/>
  <c r="Z246" i="1"/>
  <c r="AD170" i="1"/>
  <c r="AE170" i="1"/>
  <c r="AF170" i="1"/>
  <c r="AG170" i="1"/>
  <c r="AA170" i="1"/>
  <c r="AB170" i="1"/>
  <c r="AC170" i="1"/>
  <c r="AH170" i="1"/>
  <c r="Z170" i="1"/>
  <c r="AD171" i="1"/>
  <c r="AE171" i="1"/>
  <c r="AF171" i="1"/>
  <c r="AG171" i="1"/>
  <c r="AB171" i="1"/>
  <c r="AC171" i="1"/>
  <c r="AH171" i="1"/>
  <c r="AA171" i="1"/>
  <c r="Z171" i="1"/>
  <c r="AH217" i="1"/>
  <c r="AA217" i="1"/>
  <c r="AB217" i="1"/>
  <c r="AC217" i="1"/>
  <c r="AD217" i="1"/>
  <c r="AE217" i="1"/>
  <c r="AF217" i="1"/>
  <c r="AG217" i="1"/>
  <c r="Z217" i="1"/>
  <c r="AH195" i="1"/>
  <c r="AA195" i="1"/>
  <c r="AB195" i="1"/>
  <c r="AC195" i="1"/>
  <c r="AD195" i="1"/>
  <c r="AE195" i="1"/>
  <c r="AF195" i="1"/>
  <c r="AG195" i="1"/>
  <c r="Z195" i="1"/>
  <c r="AA76" i="1"/>
  <c r="AB76" i="1"/>
  <c r="AC76" i="1"/>
  <c r="AD76" i="1"/>
  <c r="AH76" i="1"/>
  <c r="AE76" i="1"/>
  <c r="AG76" i="1"/>
  <c r="AF76" i="1"/>
  <c r="Z76" i="1"/>
  <c r="AC96" i="1"/>
  <c r="AD96" i="1"/>
  <c r="AE96" i="1"/>
  <c r="AG96" i="1"/>
  <c r="AA96" i="1"/>
  <c r="AB96" i="1"/>
  <c r="AF96" i="1"/>
  <c r="AH96" i="1"/>
  <c r="Z96" i="1"/>
  <c r="AC122" i="1"/>
  <c r="AD122" i="1"/>
  <c r="AE122" i="1"/>
  <c r="AG122" i="1"/>
  <c r="AA122" i="1"/>
  <c r="AB122" i="1"/>
  <c r="AF122" i="1"/>
  <c r="AH122" i="1"/>
  <c r="Z122" i="1"/>
  <c r="AD152" i="1"/>
  <c r="AE152" i="1"/>
  <c r="AF152" i="1"/>
  <c r="AG152" i="1"/>
  <c r="AH152" i="1"/>
  <c r="AA152" i="1"/>
  <c r="AB152" i="1"/>
  <c r="AC152" i="1"/>
  <c r="Z152" i="1"/>
  <c r="AA59" i="1"/>
  <c r="AB59" i="1"/>
  <c r="AC59" i="1"/>
  <c r="AD59" i="1"/>
  <c r="AH59" i="1"/>
  <c r="AF59" i="1"/>
  <c r="AG59" i="1"/>
  <c r="AE59" i="1"/>
  <c r="Z59" i="1"/>
  <c r="AC90" i="1"/>
  <c r="AD90" i="1"/>
  <c r="AE90" i="1"/>
  <c r="AG90" i="1"/>
  <c r="AA90" i="1"/>
  <c r="AB90" i="1"/>
  <c r="AF90" i="1"/>
  <c r="AH90" i="1"/>
  <c r="Z90" i="1"/>
  <c r="AA40" i="1"/>
  <c r="AB40" i="1"/>
  <c r="AC40" i="1"/>
  <c r="AD40" i="1"/>
  <c r="AH40" i="1"/>
  <c r="AF40" i="1"/>
  <c r="AG40" i="1"/>
  <c r="AE40" i="1"/>
  <c r="Z40" i="1"/>
  <c r="AE499" i="1"/>
  <c r="AF499" i="1"/>
  <c r="AG499" i="1"/>
  <c r="AH499" i="1"/>
  <c r="AA499" i="1"/>
  <c r="AB499" i="1"/>
  <c r="AC499" i="1"/>
  <c r="AD499" i="1"/>
  <c r="Z499" i="1"/>
  <c r="AC350" i="1"/>
  <c r="AD350" i="1"/>
  <c r="AB350" i="1"/>
  <c r="AE350" i="1"/>
  <c r="AF350" i="1"/>
  <c r="AG350" i="1"/>
  <c r="AH350" i="1"/>
  <c r="AA350" i="1"/>
  <c r="Z350" i="1"/>
  <c r="AE405" i="1"/>
  <c r="AF405" i="1"/>
  <c r="AG405" i="1"/>
  <c r="AH405" i="1"/>
  <c r="AA405" i="1"/>
  <c r="AB405" i="1"/>
  <c r="AC405" i="1"/>
  <c r="AD405" i="1"/>
  <c r="Z405" i="1"/>
  <c r="AH258" i="1"/>
  <c r="AB258" i="1"/>
  <c r="AC258" i="1"/>
  <c r="AD258" i="1"/>
  <c r="AE258" i="1"/>
  <c r="AF258" i="1"/>
  <c r="AG258" i="1"/>
  <c r="AA258" i="1"/>
  <c r="Z258" i="1"/>
  <c r="AC286" i="1"/>
  <c r="AD286" i="1"/>
  <c r="AE286" i="1"/>
  <c r="AF286" i="1"/>
  <c r="AG286" i="1"/>
  <c r="AH286" i="1"/>
  <c r="AA286" i="1"/>
  <c r="AB286" i="1"/>
  <c r="Z286" i="1"/>
  <c r="AD158" i="1"/>
  <c r="AE158" i="1"/>
  <c r="AF158" i="1"/>
  <c r="AG158" i="1"/>
  <c r="AH158" i="1"/>
  <c r="AA158" i="1"/>
  <c r="AB158" i="1"/>
  <c r="AC158" i="1"/>
  <c r="Z158" i="1"/>
  <c r="AA61" i="1"/>
  <c r="AB61" i="1"/>
  <c r="AC61" i="1"/>
  <c r="AD61" i="1"/>
  <c r="AH61" i="1"/>
  <c r="AE61" i="1"/>
  <c r="AF61" i="1"/>
  <c r="AG61" i="1"/>
  <c r="Z61" i="1"/>
  <c r="AC136" i="1"/>
  <c r="AD136" i="1"/>
  <c r="AE136" i="1"/>
  <c r="AG136" i="1"/>
  <c r="AA136" i="1"/>
  <c r="AB136" i="1"/>
  <c r="AF136" i="1"/>
  <c r="AH136" i="1"/>
  <c r="Z136" i="1"/>
  <c r="AA41" i="1"/>
  <c r="AB41" i="1"/>
  <c r="AC41" i="1"/>
  <c r="AD41" i="1"/>
  <c r="AH41" i="1"/>
  <c r="AE41" i="1"/>
  <c r="AF41" i="1"/>
  <c r="AG41" i="1"/>
  <c r="Z41" i="1"/>
  <c r="AH256" i="1"/>
  <c r="AB256" i="1"/>
  <c r="AG256" i="1"/>
  <c r="AA256" i="1"/>
  <c r="AC256" i="1"/>
  <c r="AD256" i="1"/>
  <c r="AE256" i="1"/>
  <c r="AF256" i="1"/>
  <c r="Z256" i="1"/>
  <c r="AA35" i="1"/>
  <c r="AB35" i="1"/>
  <c r="AC35" i="1"/>
  <c r="AD35" i="1"/>
  <c r="AH35" i="1"/>
  <c r="AE35" i="1"/>
  <c r="AF35" i="1"/>
  <c r="AG35" i="1"/>
  <c r="Z35" i="1"/>
  <c r="AA13" i="1"/>
  <c r="AB13" i="1"/>
  <c r="AC13" i="1"/>
  <c r="AD13" i="1"/>
  <c r="AH13" i="1"/>
  <c r="AE13" i="1"/>
  <c r="AF13" i="1"/>
  <c r="AG13" i="1"/>
  <c r="Z13" i="1"/>
  <c r="AE498" i="1"/>
  <c r="AF498" i="1"/>
  <c r="AG498" i="1"/>
  <c r="AH498" i="1"/>
  <c r="AA498" i="1"/>
  <c r="AB498" i="1"/>
  <c r="AC498" i="1"/>
  <c r="AD498" i="1"/>
  <c r="Z498" i="1"/>
  <c r="AH196" i="1"/>
  <c r="AA196" i="1"/>
  <c r="AB196" i="1"/>
  <c r="AC196" i="1"/>
  <c r="AD196" i="1"/>
  <c r="AE196" i="1"/>
  <c r="AF196" i="1"/>
  <c r="AG196" i="1"/>
  <c r="Z196" i="1"/>
  <c r="AC89" i="1"/>
  <c r="AD89" i="1"/>
  <c r="AE89" i="1"/>
  <c r="AG89" i="1"/>
  <c r="AH89" i="1"/>
  <c r="AA89" i="1"/>
  <c r="AB89" i="1"/>
  <c r="AF89" i="1"/>
  <c r="Z89" i="1"/>
  <c r="AA11" i="1"/>
  <c r="AB11" i="1"/>
  <c r="AC11" i="1"/>
  <c r="AD11" i="1"/>
  <c r="AH11" i="1"/>
  <c r="AE11" i="1"/>
  <c r="AF11" i="1"/>
  <c r="AG11" i="1"/>
  <c r="Z11" i="1"/>
  <c r="AD169" i="1"/>
  <c r="AE169" i="1"/>
  <c r="AF169" i="1"/>
  <c r="AG169" i="1"/>
  <c r="AH169" i="1"/>
  <c r="AA169" i="1"/>
  <c r="AB169" i="1"/>
  <c r="AC169" i="1"/>
  <c r="Z169" i="1"/>
  <c r="AA37" i="1"/>
  <c r="AB37" i="1"/>
  <c r="AC37" i="1"/>
  <c r="AD37" i="1"/>
  <c r="AH37" i="1"/>
  <c r="AG37" i="1"/>
  <c r="AE37" i="1"/>
  <c r="AF37" i="1"/>
  <c r="Z37" i="1"/>
  <c r="AC348" i="1"/>
  <c r="AD348" i="1"/>
  <c r="AH348" i="1"/>
  <c r="AA348" i="1"/>
  <c r="AB348" i="1"/>
  <c r="AE348" i="1"/>
  <c r="AF348" i="1"/>
  <c r="AG348" i="1"/>
  <c r="Z348" i="1"/>
  <c r="AH219" i="1"/>
  <c r="AA219" i="1"/>
  <c r="AB219" i="1"/>
  <c r="AC219" i="1"/>
  <c r="AD219" i="1"/>
  <c r="AE219" i="1"/>
  <c r="AF219" i="1"/>
  <c r="AG219" i="1"/>
  <c r="Z219" i="1"/>
  <c r="AE379" i="1"/>
  <c r="AF379" i="1"/>
  <c r="AG379" i="1"/>
  <c r="AH379" i="1"/>
  <c r="AA379" i="1"/>
  <c r="AB379" i="1"/>
  <c r="AC379" i="1"/>
  <c r="AD379" i="1"/>
  <c r="Z379" i="1"/>
  <c r="AE458" i="1"/>
  <c r="AF458" i="1"/>
  <c r="AG458" i="1"/>
  <c r="AH458" i="1"/>
  <c r="AA458" i="1"/>
  <c r="AB458" i="1"/>
  <c r="AC458" i="1"/>
  <c r="AD458" i="1"/>
  <c r="Z458" i="1"/>
  <c r="AA18" i="1"/>
  <c r="AB18" i="1"/>
  <c r="AC18" i="1"/>
  <c r="AD18" i="1"/>
  <c r="AH18" i="1"/>
  <c r="AE18" i="1"/>
  <c r="AF18" i="1"/>
  <c r="AG18" i="1"/>
  <c r="Z18" i="1"/>
  <c r="AC333" i="1"/>
  <c r="AD333" i="1"/>
  <c r="AE333" i="1"/>
  <c r="AA333" i="1"/>
  <c r="AB333" i="1"/>
  <c r="AF333" i="1"/>
  <c r="AG333" i="1"/>
  <c r="AH333" i="1"/>
  <c r="Z333" i="1"/>
  <c r="AH200" i="1"/>
  <c r="AA200" i="1"/>
  <c r="AB200" i="1"/>
  <c r="AC200" i="1"/>
  <c r="AD200" i="1"/>
  <c r="AE200" i="1"/>
  <c r="AF200" i="1"/>
  <c r="AG200" i="1"/>
  <c r="Z200" i="1"/>
  <c r="AE474" i="1"/>
  <c r="AF474" i="1"/>
  <c r="AG474" i="1"/>
  <c r="AH474" i="1"/>
  <c r="AA474" i="1"/>
  <c r="AB474" i="1"/>
  <c r="AC474" i="1"/>
  <c r="AD474" i="1"/>
  <c r="Z474" i="1"/>
  <c r="AA77" i="1"/>
  <c r="AB77" i="1"/>
  <c r="AC77" i="1"/>
  <c r="AD77" i="1"/>
  <c r="AH77" i="1"/>
  <c r="AE77" i="1"/>
  <c r="AF77" i="1"/>
  <c r="AG77" i="1"/>
  <c r="Z77" i="1"/>
  <c r="AC319" i="1"/>
  <c r="AD319" i="1"/>
  <c r="AE319" i="1"/>
  <c r="AF319" i="1"/>
  <c r="AG319" i="1"/>
  <c r="AH319" i="1"/>
  <c r="AA319" i="1"/>
  <c r="AB319" i="1"/>
  <c r="Z319" i="1"/>
  <c r="AE450" i="1"/>
  <c r="AF450" i="1"/>
  <c r="AG450" i="1"/>
  <c r="AH450" i="1"/>
  <c r="AA450" i="1"/>
  <c r="AB450" i="1"/>
  <c r="AC450" i="1"/>
  <c r="AD450" i="1"/>
  <c r="Z450" i="1"/>
  <c r="AE383" i="1"/>
  <c r="AF383" i="1"/>
  <c r="AG383" i="1"/>
  <c r="AH383" i="1"/>
  <c r="AA383" i="1"/>
  <c r="AB383" i="1"/>
  <c r="AC383" i="1"/>
  <c r="AD383" i="1"/>
  <c r="Z383" i="1"/>
  <c r="AH209" i="1"/>
  <c r="AA209" i="1"/>
  <c r="AB209" i="1"/>
  <c r="AC209" i="1"/>
  <c r="AD209" i="1"/>
  <c r="AE209" i="1"/>
  <c r="AF209" i="1"/>
  <c r="AG209" i="1"/>
  <c r="Z209" i="1"/>
  <c r="AA7" i="1"/>
  <c r="AB7" i="1"/>
  <c r="AC7" i="1"/>
  <c r="AD7" i="1"/>
  <c r="AH7" i="1"/>
  <c r="AE7" i="1"/>
  <c r="AF7" i="1"/>
  <c r="AG7" i="1"/>
  <c r="Z7" i="1"/>
  <c r="AE469" i="1"/>
  <c r="AF469" i="1"/>
  <c r="AG469" i="1"/>
  <c r="AH469" i="1"/>
  <c r="AA469" i="1"/>
  <c r="AB469" i="1"/>
  <c r="AC469" i="1"/>
  <c r="AD469" i="1"/>
  <c r="Z469" i="1"/>
  <c r="AE482" i="1"/>
  <c r="AF482" i="1"/>
  <c r="AG482" i="1"/>
  <c r="AH482" i="1"/>
  <c r="AA482" i="1"/>
  <c r="AB482" i="1"/>
  <c r="AC482" i="1"/>
  <c r="AD482" i="1"/>
  <c r="Z482" i="1"/>
  <c r="AH188" i="1"/>
  <c r="AA188" i="1"/>
  <c r="AB188" i="1"/>
  <c r="AC188" i="1"/>
  <c r="AD188" i="1"/>
  <c r="AE188" i="1"/>
  <c r="AF188" i="1"/>
  <c r="AG188" i="1"/>
  <c r="Z188" i="1"/>
  <c r="AH225" i="1"/>
  <c r="AA225" i="1"/>
  <c r="AB225" i="1"/>
  <c r="AC225" i="1"/>
  <c r="AD225" i="1"/>
  <c r="AE225" i="1"/>
  <c r="AF225" i="1"/>
  <c r="AG225" i="1"/>
  <c r="Z225" i="1"/>
  <c r="AE460" i="1"/>
  <c r="AF460" i="1"/>
  <c r="AG460" i="1"/>
  <c r="AH460" i="1"/>
  <c r="AA460" i="1"/>
  <c r="AB460" i="1"/>
  <c r="AC460" i="1"/>
  <c r="AD460" i="1"/>
  <c r="Z460" i="1"/>
  <c r="AE436" i="1"/>
  <c r="AF436" i="1"/>
  <c r="AG436" i="1"/>
  <c r="AH436" i="1"/>
  <c r="AD436" i="1"/>
  <c r="AA436" i="1"/>
  <c r="AB436" i="1"/>
  <c r="AC436" i="1"/>
  <c r="Z436" i="1"/>
  <c r="AE391" i="1"/>
  <c r="AF391" i="1"/>
  <c r="AG391" i="1"/>
  <c r="AH391" i="1"/>
  <c r="AA391" i="1"/>
  <c r="AB391" i="1"/>
  <c r="AC391" i="1"/>
  <c r="AD391" i="1"/>
  <c r="Z391" i="1"/>
  <c r="AE385" i="1"/>
  <c r="AF385" i="1"/>
  <c r="AG385" i="1"/>
  <c r="AH385" i="1"/>
  <c r="AA385" i="1"/>
  <c r="AB385" i="1"/>
  <c r="AC385" i="1"/>
  <c r="AD385" i="1"/>
  <c r="Z385" i="1"/>
  <c r="AC351" i="1"/>
  <c r="AD351" i="1"/>
  <c r="AF351" i="1"/>
  <c r="AG351" i="1"/>
  <c r="AH351" i="1"/>
  <c r="AA351" i="1"/>
  <c r="AB351" i="1"/>
  <c r="AE351" i="1"/>
  <c r="Z351" i="1"/>
  <c r="AC329" i="1"/>
  <c r="AD329" i="1"/>
  <c r="AE329" i="1"/>
  <c r="AF329" i="1"/>
  <c r="AG329" i="1"/>
  <c r="AH329" i="1"/>
  <c r="AA329" i="1"/>
  <c r="AB329" i="1"/>
  <c r="Z329" i="1"/>
  <c r="AE423" i="1"/>
  <c r="AF423" i="1"/>
  <c r="AG423" i="1"/>
  <c r="AH423" i="1"/>
  <c r="AA423" i="1"/>
  <c r="AB423" i="1"/>
  <c r="AC423" i="1"/>
  <c r="AD423" i="1"/>
  <c r="Z423" i="1"/>
  <c r="AC315" i="1"/>
  <c r="AD315" i="1"/>
  <c r="AE315" i="1"/>
  <c r="AF315" i="1"/>
  <c r="AG315" i="1"/>
  <c r="AH315" i="1"/>
  <c r="AA315" i="1"/>
  <c r="AB315" i="1"/>
  <c r="Z315" i="1"/>
  <c r="AC331" i="1"/>
  <c r="AD331" i="1"/>
  <c r="AE331" i="1"/>
  <c r="AH331" i="1"/>
  <c r="AA331" i="1"/>
  <c r="AB331" i="1"/>
  <c r="AF331" i="1"/>
  <c r="AG331" i="1"/>
  <c r="Z331" i="1"/>
  <c r="AC335" i="1"/>
  <c r="AD335" i="1"/>
  <c r="AE335" i="1"/>
  <c r="AG335" i="1"/>
  <c r="AH335" i="1"/>
  <c r="AA335" i="1"/>
  <c r="AB335" i="1"/>
  <c r="AF335" i="1"/>
  <c r="Z335" i="1"/>
  <c r="AC283" i="1"/>
  <c r="AD283" i="1"/>
  <c r="AE283" i="1"/>
  <c r="AF283" i="1"/>
  <c r="AG283" i="1"/>
  <c r="AH283" i="1"/>
  <c r="AA283" i="1"/>
  <c r="AB283" i="1"/>
  <c r="Z283" i="1"/>
  <c r="AH248" i="1"/>
  <c r="AA248" i="1"/>
  <c r="AB248" i="1"/>
  <c r="AC248" i="1"/>
  <c r="AD248" i="1"/>
  <c r="AE248" i="1"/>
  <c r="AF248" i="1"/>
  <c r="AG248" i="1"/>
  <c r="Z248" i="1"/>
  <c r="AC259" i="1"/>
  <c r="AD259" i="1"/>
  <c r="AE259" i="1"/>
  <c r="AF259" i="1"/>
  <c r="AG259" i="1"/>
  <c r="AH259" i="1"/>
  <c r="AA259" i="1"/>
  <c r="AB259" i="1"/>
  <c r="Z259" i="1"/>
  <c r="AD186" i="1"/>
  <c r="AE186" i="1"/>
  <c r="AG186" i="1"/>
  <c r="AH186" i="1"/>
  <c r="AA186" i="1"/>
  <c r="AB186" i="1"/>
  <c r="AC186" i="1"/>
  <c r="AF186" i="1"/>
  <c r="Z186" i="1"/>
  <c r="AD162" i="1"/>
  <c r="AE162" i="1"/>
  <c r="AF162" i="1"/>
  <c r="AG162" i="1"/>
  <c r="AH162" i="1"/>
  <c r="AA162" i="1"/>
  <c r="AB162" i="1"/>
  <c r="AC162" i="1"/>
  <c r="Z162" i="1"/>
  <c r="AD163" i="1"/>
  <c r="AE163" i="1"/>
  <c r="AF163" i="1"/>
  <c r="AG163" i="1"/>
  <c r="AH163" i="1"/>
  <c r="AA163" i="1"/>
  <c r="AB163" i="1"/>
  <c r="AC163" i="1"/>
  <c r="Z163" i="1"/>
  <c r="AD175" i="1"/>
  <c r="AE175" i="1"/>
  <c r="AF175" i="1"/>
  <c r="AG175" i="1"/>
  <c r="AB175" i="1"/>
  <c r="AC175" i="1"/>
  <c r="AH175" i="1"/>
  <c r="AA175" i="1"/>
  <c r="Z175" i="1"/>
  <c r="AC138" i="1"/>
  <c r="AD138" i="1"/>
  <c r="AE138" i="1"/>
  <c r="AG138" i="1"/>
  <c r="AA138" i="1"/>
  <c r="AB138" i="1"/>
  <c r="AF138" i="1"/>
  <c r="AH138" i="1"/>
  <c r="Z138" i="1"/>
  <c r="AA10" i="1"/>
  <c r="AB10" i="1"/>
  <c r="AC10" i="1"/>
  <c r="AD10" i="1"/>
  <c r="AH10" i="1"/>
  <c r="AE10" i="1"/>
  <c r="AF10" i="1"/>
  <c r="AG10" i="1"/>
  <c r="Z10" i="1"/>
  <c r="AC109" i="1"/>
  <c r="AD109" i="1"/>
  <c r="AE109" i="1"/>
  <c r="AG109" i="1"/>
  <c r="AH109" i="1"/>
  <c r="AA109" i="1"/>
  <c r="AB109" i="1"/>
  <c r="AF109" i="1"/>
  <c r="Z109" i="1"/>
  <c r="AE481" i="1"/>
  <c r="AF481" i="1"/>
  <c r="AG481" i="1"/>
  <c r="AH481" i="1"/>
  <c r="AA481" i="1"/>
  <c r="AB481" i="1"/>
  <c r="AC481" i="1"/>
  <c r="AD481" i="1"/>
  <c r="Z481" i="1"/>
  <c r="AH241" i="1"/>
  <c r="AA241" i="1"/>
  <c r="AB241" i="1"/>
  <c r="AC241" i="1"/>
  <c r="AD241" i="1"/>
  <c r="AE241" i="1"/>
  <c r="AF241" i="1"/>
  <c r="AG241" i="1"/>
  <c r="Z241" i="1"/>
  <c r="AE402" i="1"/>
  <c r="AF402" i="1"/>
  <c r="AG402" i="1"/>
  <c r="AH402" i="1"/>
  <c r="AA402" i="1"/>
  <c r="AB402" i="1"/>
  <c r="AC402" i="1"/>
  <c r="AD402" i="1"/>
  <c r="Z402" i="1"/>
  <c r="AC352" i="1"/>
  <c r="AG352" i="1"/>
  <c r="AH352" i="1"/>
  <c r="AA352" i="1"/>
  <c r="AB352" i="1"/>
  <c r="AD352" i="1"/>
  <c r="AE352" i="1"/>
  <c r="AF352" i="1"/>
  <c r="Z352" i="1"/>
  <c r="AH255" i="1"/>
  <c r="AB255" i="1"/>
  <c r="AE255" i="1"/>
  <c r="AF255" i="1"/>
  <c r="AG255" i="1"/>
  <c r="AA255" i="1"/>
  <c r="AC255" i="1"/>
  <c r="AD255" i="1"/>
  <c r="Z255" i="1"/>
  <c r="AC309" i="1"/>
  <c r="AD309" i="1"/>
  <c r="AE309" i="1"/>
  <c r="AF309" i="1"/>
  <c r="AG309" i="1"/>
  <c r="AH309" i="1"/>
  <c r="AA309" i="1"/>
  <c r="AB309" i="1"/>
  <c r="Z309" i="1"/>
  <c r="AC133" i="1"/>
  <c r="AD133" i="1"/>
  <c r="AE133" i="1"/>
  <c r="AG133" i="1"/>
  <c r="AH133" i="1"/>
  <c r="AA133" i="1"/>
  <c r="AB133" i="1"/>
  <c r="AF133" i="1"/>
  <c r="Z133" i="1"/>
  <c r="AA47" i="1"/>
  <c r="AB47" i="1"/>
  <c r="AC47" i="1"/>
  <c r="AD47" i="1"/>
  <c r="AH47" i="1"/>
  <c r="AE47" i="1"/>
  <c r="AF47" i="1"/>
  <c r="AG47" i="1"/>
  <c r="Z47" i="1"/>
  <c r="AD181" i="1"/>
  <c r="AE181" i="1"/>
  <c r="AF181" i="1"/>
  <c r="AA181" i="1"/>
  <c r="AB181" i="1"/>
  <c r="AC181" i="1"/>
  <c r="AG181" i="1"/>
  <c r="AH181" i="1"/>
  <c r="Z181" i="1"/>
  <c r="AC135" i="1"/>
  <c r="AD135" i="1"/>
  <c r="AE135" i="1"/>
  <c r="AG135" i="1"/>
  <c r="AH135" i="1"/>
  <c r="AA135" i="1"/>
  <c r="AB135" i="1"/>
  <c r="AF135" i="1"/>
  <c r="Z135" i="1"/>
  <c r="AC287" i="1"/>
  <c r="AD287" i="1"/>
  <c r="AE287" i="1"/>
  <c r="AF287" i="1"/>
  <c r="AG287" i="1"/>
  <c r="AH287" i="1"/>
  <c r="AA287" i="1"/>
  <c r="AB287" i="1"/>
  <c r="Z287" i="1"/>
  <c r="AD164" i="1"/>
  <c r="AE164" i="1"/>
  <c r="AF164" i="1"/>
  <c r="AG164" i="1"/>
  <c r="AH164" i="1"/>
  <c r="AA164" i="1"/>
  <c r="AC164" i="1"/>
  <c r="AB164" i="1"/>
  <c r="Z164" i="1"/>
  <c r="AC304" i="1"/>
  <c r="AD304" i="1"/>
  <c r="AE304" i="1"/>
  <c r="AF304" i="1"/>
  <c r="AG304" i="1"/>
  <c r="AH304" i="1"/>
  <c r="AA304" i="1"/>
  <c r="AB304" i="1"/>
  <c r="Z304" i="1"/>
  <c r="AC120" i="1"/>
  <c r="AD120" i="1"/>
  <c r="AE120" i="1"/>
  <c r="AG120" i="1"/>
  <c r="AA120" i="1"/>
  <c r="AB120" i="1"/>
  <c r="AF120" i="1"/>
  <c r="AH120" i="1"/>
  <c r="Z120" i="1"/>
  <c r="AC330" i="1"/>
  <c r="AD330" i="1"/>
  <c r="AE330" i="1"/>
  <c r="AH330" i="1"/>
  <c r="AB330" i="1"/>
  <c r="AF330" i="1"/>
  <c r="AG330" i="1"/>
  <c r="AA330" i="1"/>
  <c r="Z330" i="1"/>
  <c r="AH194" i="1"/>
  <c r="AA194" i="1"/>
  <c r="AB194" i="1"/>
  <c r="AC194" i="1"/>
  <c r="AD194" i="1"/>
  <c r="AE194" i="1"/>
  <c r="AF194" i="1"/>
  <c r="AG194" i="1"/>
  <c r="Z194" i="1"/>
  <c r="AA28" i="1"/>
  <c r="AB28" i="1"/>
  <c r="AC28" i="1"/>
  <c r="AD28" i="1"/>
  <c r="AH28" i="1"/>
  <c r="AE28" i="1"/>
  <c r="AF28" i="1"/>
  <c r="AG28" i="1"/>
  <c r="Z28" i="1"/>
  <c r="AC95" i="1"/>
  <c r="AD95" i="1"/>
  <c r="AE95" i="1"/>
  <c r="AG95" i="1"/>
  <c r="AH95" i="1"/>
  <c r="AA95" i="1"/>
  <c r="AB95" i="1"/>
  <c r="AF95" i="1"/>
  <c r="Z95" i="1"/>
  <c r="AC295" i="1"/>
  <c r="AD295" i="1"/>
  <c r="AE295" i="1"/>
  <c r="AF295" i="1"/>
  <c r="AG295" i="1"/>
  <c r="AH295" i="1"/>
  <c r="AA295" i="1"/>
  <c r="AB295" i="1"/>
  <c r="Z295" i="1"/>
  <c r="AA19" i="1"/>
  <c r="AB19" i="1"/>
  <c r="AC19" i="1"/>
  <c r="AD19" i="1"/>
  <c r="AH19" i="1"/>
  <c r="AE19" i="1"/>
  <c r="AF19" i="1"/>
  <c r="AG19" i="1"/>
  <c r="Z19" i="1"/>
  <c r="AC346" i="1"/>
  <c r="AD346" i="1"/>
  <c r="AB346" i="1"/>
  <c r="AE346" i="1"/>
  <c r="AF346" i="1"/>
  <c r="AG346" i="1"/>
  <c r="AH346" i="1"/>
  <c r="AA346" i="1"/>
  <c r="Z346" i="1"/>
  <c r="AD157" i="1"/>
  <c r="AE157" i="1"/>
  <c r="AF157" i="1"/>
  <c r="AG157" i="1"/>
  <c r="AH157" i="1"/>
  <c r="AA157" i="1"/>
  <c r="AB157" i="1"/>
  <c r="AC157" i="1"/>
  <c r="Z157" i="1"/>
  <c r="AE369" i="1"/>
  <c r="AF369" i="1"/>
  <c r="AG369" i="1"/>
  <c r="AH369" i="1"/>
  <c r="AA369" i="1"/>
  <c r="AB369" i="1"/>
  <c r="AC369" i="1"/>
  <c r="AD369" i="1"/>
  <c r="Z369" i="1"/>
  <c r="AH231" i="1"/>
  <c r="AA231" i="1"/>
  <c r="AB231" i="1"/>
  <c r="AC231" i="1"/>
  <c r="AD231" i="1"/>
  <c r="AE231" i="1"/>
  <c r="AF231" i="1"/>
  <c r="AG231" i="1"/>
  <c r="Z231" i="1"/>
  <c r="AC97" i="1"/>
  <c r="AD97" i="1"/>
  <c r="AE97" i="1"/>
  <c r="AG97" i="1"/>
  <c r="AH97" i="1"/>
  <c r="AA97" i="1"/>
  <c r="AB97" i="1"/>
  <c r="AF97" i="1"/>
  <c r="Z97" i="1"/>
  <c r="AC349" i="1"/>
  <c r="AD349" i="1"/>
  <c r="AA349" i="1"/>
  <c r="AB349" i="1"/>
  <c r="AE349" i="1"/>
  <c r="AF349" i="1"/>
  <c r="AG349" i="1"/>
  <c r="AH349" i="1"/>
  <c r="Z349" i="1"/>
  <c r="AA14" i="1"/>
  <c r="AB14" i="1"/>
  <c r="AC14" i="1"/>
  <c r="AD14" i="1"/>
  <c r="AH14" i="1"/>
  <c r="AG14" i="1"/>
  <c r="AE14" i="1"/>
  <c r="AF14" i="1"/>
  <c r="Z14" i="1"/>
  <c r="AE467" i="1"/>
  <c r="AF467" i="1"/>
  <c r="AG467" i="1"/>
  <c r="AH467" i="1"/>
  <c r="AA467" i="1"/>
  <c r="AB467" i="1"/>
  <c r="AC467" i="1"/>
  <c r="AD467" i="1"/>
  <c r="Z467" i="1"/>
  <c r="AE453" i="1"/>
  <c r="AF453" i="1"/>
  <c r="AG453" i="1"/>
  <c r="AH453" i="1"/>
  <c r="AA453" i="1"/>
  <c r="AB453" i="1"/>
  <c r="AC453" i="1"/>
  <c r="AD453" i="1"/>
  <c r="Z453" i="1"/>
  <c r="AC311" i="1"/>
  <c r="AD311" i="1"/>
  <c r="AE311" i="1"/>
  <c r="AF311" i="1"/>
  <c r="AG311" i="1"/>
  <c r="AH311" i="1"/>
  <c r="AA311" i="1"/>
  <c r="AB311" i="1"/>
  <c r="Z311" i="1"/>
  <c r="AE448" i="1"/>
  <c r="AF448" i="1"/>
  <c r="AG448" i="1"/>
  <c r="AH448" i="1"/>
  <c r="AA448" i="1"/>
  <c r="AB448" i="1"/>
  <c r="AC448" i="1"/>
  <c r="AD448" i="1"/>
  <c r="Z448" i="1"/>
  <c r="AC301" i="1"/>
  <c r="AD301" i="1"/>
  <c r="AE301" i="1"/>
  <c r="AF301" i="1"/>
  <c r="AG301" i="1"/>
  <c r="AH301" i="1"/>
  <c r="AA301" i="1"/>
  <c r="AB301" i="1"/>
  <c r="Z301" i="1"/>
  <c r="AE496" i="1"/>
  <c r="AF496" i="1"/>
  <c r="AG496" i="1"/>
  <c r="AH496" i="1"/>
  <c r="AA496" i="1"/>
  <c r="AB496" i="1"/>
  <c r="AC496" i="1"/>
  <c r="AD496" i="1"/>
  <c r="Z496" i="1"/>
  <c r="AH197" i="1"/>
  <c r="AA197" i="1"/>
  <c r="AB197" i="1"/>
  <c r="AC197" i="1"/>
  <c r="AD197" i="1"/>
  <c r="AE197" i="1"/>
  <c r="AF197" i="1"/>
  <c r="AG197" i="1"/>
  <c r="Z197" i="1"/>
  <c r="AH227" i="1"/>
  <c r="AA227" i="1"/>
  <c r="AB227" i="1"/>
  <c r="AC227" i="1"/>
  <c r="AD227" i="1"/>
  <c r="AE227" i="1"/>
  <c r="AF227" i="1"/>
  <c r="AG227" i="1"/>
  <c r="Z227" i="1"/>
  <c r="AD156" i="1"/>
  <c r="AE156" i="1"/>
  <c r="AF156" i="1"/>
  <c r="AG156" i="1"/>
  <c r="AH156" i="1"/>
  <c r="AA156" i="1"/>
  <c r="AC156" i="1"/>
  <c r="AB156" i="1"/>
  <c r="Z156" i="1"/>
  <c r="AC104" i="1"/>
  <c r="AD104" i="1"/>
  <c r="AE104" i="1"/>
  <c r="AG104" i="1"/>
  <c r="AA104" i="1"/>
  <c r="AB104" i="1"/>
  <c r="AF104" i="1"/>
  <c r="AH104" i="1"/>
  <c r="Z104" i="1"/>
  <c r="AC273" i="1"/>
  <c r="AD273" i="1"/>
  <c r="AE273" i="1"/>
  <c r="AF273" i="1"/>
  <c r="AG273" i="1"/>
  <c r="AH273" i="1"/>
  <c r="AA273" i="1"/>
  <c r="AB273" i="1"/>
  <c r="Z273" i="1"/>
  <c r="AE462" i="1"/>
  <c r="AF462" i="1"/>
  <c r="AG462" i="1"/>
  <c r="AH462" i="1"/>
  <c r="AA462" i="1"/>
  <c r="AB462" i="1"/>
  <c r="AC462" i="1"/>
  <c r="AD462" i="1"/>
  <c r="Z462" i="1"/>
  <c r="AC355" i="1"/>
  <c r="AA355" i="1"/>
  <c r="AB355" i="1"/>
  <c r="AD355" i="1"/>
  <c r="AE355" i="1"/>
  <c r="AF355" i="1"/>
  <c r="AG355" i="1"/>
  <c r="AH355" i="1"/>
  <c r="Z355" i="1"/>
  <c r="AC261" i="1"/>
  <c r="AD261" i="1"/>
  <c r="AE261" i="1"/>
  <c r="AF261" i="1"/>
  <c r="AG261" i="1"/>
  <c r="AH261" i="1"/>
  <c r="AA261" i="1"/>
  <c r="AB261" i="1"/>
  <c r="Z261" i="1"/>
  <c r="AC323" i="1"/>
  <c r="AD323" i="1"/>
  <c r="AE323" i="1"/>
  <c r="AF323" i="1"/>
  <c r="AG323" i="1"/>
  <c r="AH323" i="1"/>
  <c r="AA323" i="1"/>
  <c r="AB323" i="1"/>
  <c r="Z323" i="1"/>
  <c r="AH234" i="1"/>
  <c r="AA234" i="1"/>
  <c r="AB234" i="1"/>
  <c r="AC234" i="1"/>
  <c r="AD234" i="1"/>
  <c r="AE234" i="1"/>
  <c r="AF234" i="1"/>
  <c r="AG234" i="1"/>
  <c r="Z234" i="1"/>
  <c r="AH226" i="1"/>
  <c r="AA226" i="1"/>
  <c r="AB226" i="1"/>
  <c r="AC226" i="1"/>
  <c r="AD226" i="1"/>
  <c r="AE226" i="1"/>
  <c r="AF226" i="1"/>
  <c r="AG226" i="1"/>
  <c r="Z226" i="1"/>
  <c r="AD154" i="1"/>
  <c r="AE154" i="1"/>
  <c r="AF154" i="1"/>
  <c r="AG154" i="1"/>
  <c r="AH154" i="1"/>
  <c r="AA154" i="1"/>
  <c r="AB154" i="1"/>
  <c r="AC154" i="1"/>
  <c r="Z154" i="1"/>
  <c r="AC266" i="1"/>
  <c r="AD266" i="1"/>
  <c r="AE266" i="1"/>
  <c r="AF266" i="1"/>
  <c r="AG266" i="1"/>
  <c r="AH266" i="1"/>
  <c r="AA266" i="1"/>
  <c r="AB266" i="1"/>
  <c r="Z266" i="1"/>
  <c r="AD149" i="1"/>
  <c r="AE149" i="1"/>
  <c r="AF149" i="1"/>
  <c r="AG149" i="1"/>
  <c r="AH149" i="1"/>
  <c r="AA149" i="1"/>
  <c r="AB149" i="1"/>
  <c r="AC149" i="1"/>
  <c r="Z149" i="1"/>
  <c r="AD187" i="1"/>
  <c r="AH187" i="1"/>
  <c r="AA187" i="1"/>
  <c r="AB187" i="1"/>
  <c r="AC187" i="1"/>
  <c r="AE187" i="1"/>
  <c r="AF187" i="1"/>
  <c r="AG187" i="1"/>
  <c r="Z187" i="1"/>
  <c r="AA36" i="1"/>
  <c r="AB36" i="1"/>
  <c r="AC36" i="1"/>
  <c r="AD36" i="1"/>
  <c r="AH36" i="1"/>
  <c r="AE36" i="1"/>
  <c r="AF36" i="1"/>
  <c r="AG36" i="1"/>
  <c r="Z36" i="1"/>
  <c r="AC100" i="1"/>
  <c r="AD100" i="1"/>
  <c r="AE100" i="1"/>
  <c r="AG100" i="1"/>
  <c r="AA100" i="1"/>
  <c r="AB100" i="1"/>
  <c r="AF100" i="1"/>
  <c r="AH100" i="1"/>
  <c r="Z100" i="1"/>
  <c r="AC92" i="1"/>
  <c r="AD92" i="1"/>
  <c r="AE92" i="1"/>
  <c r="AG92" i="1"/>
  <c r="AA92" i="1"/>
  <c r="AB92" i="1"/>
  <c r="AF92" i="1"/>
  <c r="AH92" i="1"/>
  <c r="Z92" i="1"/>
  <c r="AD155" i="1"/>
  <c r="AE155" i="1"/>
  <c r="AF155" i="1"/>
  <c r="AG155" i="1"/>
  <c r="AH155" i="1"/>
  <c r="AA155" i="1"/>
  <c r="AB155" i="1"/>
  <c r="AC155" i="1"/>
  <c r="Z155" i="1"/>
  <c r="AA3" i="1"/>
  <c r="AB3" i="1"/>
  <c r="AC3" i="1"/>
  <c r="AD3" i="1"/>
  <c r="AE3" i="1"/>
  <c r="AF3" i="1"/>
  <c r="AG3" i="1"/>
  <c r="AH3" i="1"/>
  <c r="Z3" i="1"/>
  <c r="AA38" i="1"/>
  <c r="AB38" i="1"/>
  <c r="AC38" i="1"/>
  <c r="AD38" i="1"/>
  <c r="AH38" i="1"/>
  <c r="AE38" i="1"/>
  <c r="AF38" i="1"/>
  <c r="AG38" i="1"/>
  <c r="Z38" i="1"/>
  <c r="AC94" i="1"/>
  <c r="AD94" i="1"/>
  <c r="AE94" i="1"/>
  <c r="AG94" i="1"/>
  <c r="AA94" i="1"/>
  <c r="AB94" i="1"/>
  <c r="AF94" i="1"/>
  <c r="AH94" i="1"/>
  <c r="Z94" i="1"/>
  <c r="AA25" i="1"/>
  <c r="AB25" i="1"/>
  <c r="AC25" i="1"/>
  <c r="AD25" i="1"/>
  <c r="AH25" i="1"/>
  <c r="AF25" i="1"/>
  <c r="AG25" i="1"/>
  <c r="AE25" i="1"/>
  <c r="Z25" i="1"/>
  <c r="AE475" i="1"/>
  <c r="AF475" i="1"/>
  <c r="AG475" i="1"/>
  <c r="AH475" i="1"/>
  <c r="AA475" i="1"/>
  <c r="AB475" i="1"/>
  <c r="AC475" i="1"/>
  <c r="AD475" i="1"/>
  <c r="Z475" i="1"/>
  <c r="AC345" i="1"/>
  <c r="AD345" i="1"/>
  <c r="AA345" i="1"/>
  <c r="AB345" i="1"/>
  <c r="AE345" i="1"/>
  <c r="AF345" i="1"/>
  <c r="AG345" i="1"/>
  <c r="AH345" i="1"/>
  <c r="Z345" i="1"/>
  <c r="AE495" i="1"/>
  <c r="AF495" i="1"/>
  <c r="AG495" i="1"/>
  <c r="AH495" i="1"/>
  <c r="AA495" i="1"/>
  <c r="AB495" i="1"/>
  <c r="AC495" i="1"/>
  <c r="AD495" i="1"/>
  <c r="Z495" i="1"/>
  <c r="AH240" i="1"/>
  <c r="AA240" i="1"/>
  <c r="AB240" i="1"/>
  <c r="AC240" i="1"/>
  <c r="AD240" i="1"/>
  <c r="AE240" i="1"/>
  <c r="AF240" i="1"/>
  <c r="AG240" i="1"/>
  <c r="Z240" i="1"/>
  <c r="AE390" i="1"/>
  <c r="AF390" i="1"/>
  <c r="AG390" i="1"/>
  <c r="AH390" i="1"/>
  <c r="AA390" i="1"/>
  <c r="AB390" i="1"/>
  <c r="AC390" i="1"/>
  <c r="AD390" i="1"/>
  <c r="Z390" i="1"/>
  <c r="AC332" i="1"/>
  <c r="AD332" i="1"/>
  <c r="AE332" i="1"/>
  <c r="AH332" i="1"/>
  <c r="AB332" i="1"/>
  <c r="AF332" i="1"/>
  <c r="AG332" i="1"/>
  <c r="AA332" i="1"/>
  <c r="Z332" i="1"/>
  <c r="AH254" i="1"/>
  <c r="AA254" i="1"/>
  <c r="AB254" i="1"/>
  <c r="AC254" i="1"/>
  <c r="AD254" i="1"/>
  <c r="AE254" i="1"/>
  <c r="AF254" i="1"/>
  <c r="AG254" i="1"/>
  <c r="Z254" i="1"/>
  <c r="AE370" i="1"/>
  <c r="AF370" i="1"/>
  <c r="AG370" i="1"/>
  <c r="AH370" i="1"/>
  <c r="AA370" i="1"/>
  <c r="AB370" i="1"/>
  <c r="AC370" i="1"/>
  <c r="AD370" i="1"/>
  <c r="Z370" i="1"/>
  <c r="AC271" i="1"/>
  <c r="AD271" i="1"/>
  <c r="AE271" i="1"/>
  <c r="AF271" i="1"/>
  <c r="AG271" i="1"/>
  <c r="AH271" i="1"/>
  <c r="AA271" i="1"/>
  <c r="AB271" i="1"/>
  <c r="Z271" i="1"/>
  <c r="AE440" i="1"/>
  <c r="AF440" i="1"/>
  <c r="AG440" i="1"/>
  <c r="AC440" i="1"/>
  <c r="AD440" i="1"/>
  <c r="AH440" i="1"/>
  <c r="AA440" i="1"/>
  <c r="AB440" i="1"/>
  <c r="Z440" i="1"/>
  <c r="AH192" i="1"/>
  <c r="AA192" i="1"/>
  <c r="AB192" i="1"/>
  <c r="AC192" i="1"/>
  <c r="AD192" i="1"/>
  <c r="AE192" i="1"/>
  <c r="AF192" i="1"/>
  <c r="AG192" i="1"/>
  <c r="Z192" i="1"/>
  <c r="AC123" i="1"/>
  <c r="AD123" i="1"/>
  <c r="AE123" i="1"/>
  <c r="AG123" i="1"/>
  <c r="AH123" i="1"/>
  <c r="AA123" i="1"/>
  <c r="AB123" i="1"/>
  <c r="AF123" i="1"/>
  <c r="Z123" i="1"/>
  <c r="AA33" i="1"/>
  <c r="AB33" i="1"/>
  <c r="AC33" i="1"/>
  <c r="AD33" i="1"/>
  <c r="AH33" i="1"/>
  <c r="AE33" i="1"/>
  <c r="AF33" i="1"/>
  <c r="AG33" i="1"/>
  <c r="Z33" i="1"/>
  <c r="AD180" i="1"/>
  <c r="AE180" i="1"/>
  <c r="AF180" i="1"/>
  <c r="AC180" i="1"/>
  <c r="AG180" i="1"/>
  <c r="AH180" i="1"/>
  <c r="AA180" i="1"/>
  <c r="AB180" i="1"/>
  <c r="Z180" i="1"/>
  <c r="AC134" i="1"/>
  <c r="AD134" i="1"/>
  <c r="AE134" i="1"/>
  <c r="AG134" i="1"/>
  <c r="AA134" i="1"/>
  <c r="AB134" i="1"/>
  <c r="AF134" i="1"/>
  <c r="AH134" i="1"/>
  <c r="Z134" i="1"/>
  <c r="AA8" i="1"/>
  <c r="AB8" i="1"/>
  <c r="AC8" i="1"/>
  <c r="AD8" i="1"/>
  <c r="AH8" i="1"/>
  <c r="AE8" i="1"/>
  <c r="AF8" i="1"/>
  <c r="AG8" i="1"/>
  <c r="Z8" i="1"/>
  <c r="AC270" i="1"/>
  <c r="AD270" i="1"/>
  <c r="AE270" i="1"/>
  <c r="AF270" i="1"/>
  <c r="AG270" i="1"/>
  <c r="AH270" i="1"/>
  <c r="AA270" i="1"/>
  <c r="AB270" i="1"/>
  <c r="Z270" i="1"/>
  <c r="AA78" i="1"/>
  <c r="AB78" i="1"/>
  <c r="AC78" i="1"/>
  <c r="AD78" i="1"/>
  <c r="AH78" i="1"/>
  <c r="AE78" i="1"/>
  <c r="AF78" i="1"/>
  <c r="AG78" i="1"/>
  <c r="Z78" i="1"/>
  <c r="AD184" i="1"/>
  <c r="AE184" i="1"/>
  <c r="AF184" i="1"/>
  <c r="AA184" i="1"/>
  <c r="AB184" i="1"/>
  <c r="AC184" i="1"/>
  <c r="AG184" i="1"/>
  <c r="AH184" i="1"/>
  <c r="Z184" i="1"/>
  <c r="AA24" i="1"/>
  <c r="AB24" i="1"/>
  <c r="AC24" i="1"/>
  <c r="AD24" i="1"/>
  <c r="AH24" i="1"/>
  <c r="AE24" i="1"/>
  <c r="AF24" i="1"/>
  <c r="AG24" i="1"/>
  <c r="Z24" i="1"/>
  <c r="AA71" i="1"/>
  <c r="AB71" i="1"/>
  <c r="AC71" i="1"/>
  <c r="AD71" i="1"/>
  <c r="AH71" i="1"/>
  <c r="AF71" i="1"/>
  <c r="AG71" i="1"/>
  <c r="AE71" i="1"/>
  <c r="Z71" i="1"/>
  <c r="AD143" i="1"/>
  <c r="AE143" i="1"/>
  <c r="AF143" i="1"/>
  <c r="AG143" i="1"/>
  <c r="AH143" i="1"/>
  <c r="AA143" i="1"/>
  <c r="AB143" i="1"/>
  <c r="AC143" i="1"/>
  <c r="Z143" i="1"/>
  <c r="AD165" i="1"/>
  <c r="AE165" i="1"/>
  <c r="AF165" i="1"/>
  <c r="AG165" i="1"/>
  <c r="AH165" i="1"/>
  <c r="AA165" i="1"/>
  <c r="AB165" i="1"/>
  <c r="AC165" i="1"/>
  <c r="Z165" i="1"/>
  <c r="AD148" i="1"/>
  <c r="AE148" i="1"/>
  <c r="AF148" i="1"/>
  <c r="AG148" i="1"/>
  <c r="AH148" i="1"/>
  <c r="AA148" i="1"/>
  <c r="AB148" i="1"/>
  <c r="AC148" i="1"/>
  <c r="Z148" i="1"/>
  <c r="AA22" i="1"/>
  <c r="AB22" i="1"/>
  <c r="AC22" i="1"/>
  <c r="AD22" i="1"/>
  <c r="AH22" i="1"/>
  <c r="AG22" i="1"/>
  <c r="AE22" i="1"/>
  <c r="AF22" i="1"/>
  <c r="Z22" i="1"/>
  <c r="AC338" i="1"/>
  <c r="AD338" i="1"/>
  <c r="AE338" i="1"/>
  <c r="AH338" i="1"/>
  <c r="AA338" i="1"/>
  <c r="AB338" i="1"/>
  <c r="AF338" i="1"/>
  <c r="AG338" i="1"/>
  <c r="Z338" i="1"/>
  <c r="AC341" i="1"/>
  <c r="AD341" i="1"/>
  <c r="AE341" i="1"/>
  <c r="AA341" i="1"/>
  <c r="AB341" i="1"/>
  <c r="AF341" i="1"/>
  <c r="AG341" i="1"/>
  <c r="AH341" i="1"/>
  <c r="Z341" i="1"/>
  <c r="AH216" i="1"/>
  <c r="AA216" i="1"/>
  <c r="AB216" i="1"/>
  <c r="AC216" i="1"/>
  <c r="AD216" i="1"/>
  <c r="AE216" i="1"/>
  <c r="AF216" i="1"/>
  <c r="AG216" i="1"/>
  <c r="Z216" i="1"/>
  <c r="AC296" i="1"/>
  <c r="AD296" i="1"/>
  <c r="AE296" i="1"/>
  <c r="AF296" i="1"/>
  <c r="AG296" i="1"/>
  <c r="AH296" i="1"/>
  <c r="AA296" i="1"/>
  <c r="AB296" i="1"/>
  <c r="Z296" i="1"/>
  <c r="AE424" i="1"/>
  <c r="AF424" i="1"/>
  <c r="AG424" i="1"/>
  <c r="AH424" i="1"/>
  <c r="AD424" i="1"/>
  <c r="AA424" i="1"/>
  <c r="AB424" i="1"/>
  <c r="AC424" i="1"/>
  <c r="Z424" i="1"/>
  <c r="AA4" i="1"/>
  <c r="AB4" i="1"/>
  <c r="AC4" i="1"/>
  <c r="AD4" i="1"/>
  <c r="AH4" i="1"/>
  <c r="AE4" i="1"/>
  <c r="AF4" i="1"/>
  <c r="AG4" i="1"/>
  <c r="Z4" i="1"/>
  <c r="AH213" i="1"/>
  <c r="AA213" i="1"/>
  <c r="AB213" i="1"/>
  <c r="AC213" i="1"/>
  <c r="AD213" i="1"/>
  <c r="AE213" i="1"/>
  <c r="AF213" i="1"/>
  <c r="AG213" i="1"/>
  <c r="Z213" i="1"/>
  <c r="AE412" i="1"/>
  <c r="AF412" i="1"/>
  <c r="AG412" i="1"/>
  <c r="AH412" i="1"/>
  <c r="AA412" i="1"/>
  <c r="AB412" i="1"/>
  <c r="AC412" i="1"/>
  <c r="AD412" i="1"/>
  <c r="Z412" i="1"/>
  <c r="AD185" i="1"/>
  <c r="AE185" i="1"/>
  <c r="AF185" i="1"/>
  <c r="AB185" i="1"/>
  <c r="AC185" i="1"/>
  <c r="AG185" i="1"/>
  <c r="AH185" i="1"/>
  <c r="AA185" i="1"/>
  <c r="Z185" i="1"/>
  <c r="AC98" i="1"/>
  <c r="AD98" i="1"/>
  <c r="AE98" i="1"/>
  <c r="AG98" i="1"/>
  <c r="AA98" i="1"/>
  <c r="AB98" i="1"/>
  <c r="AF98" i="1"/>
  <c r="AH98" i="1"/>
  <c r="Z98" i="1"/>
  <c r="AH193" i="1"/>
  <c r="AA193" i="1"/>
  <c r="AB193" i="1"/>
  <c r="AC193" i="1"/>
  <c r="AD193" i="1"/>
  <c r="AE193" i="1"/>
  <c r="AF193" i="1"/>
  <c r="AG193" i="1"/>
  <c r="Z193" i="1"/>
  <c r="AE395" i="1"/>
  <c r="AF395" i="1"/>
  <c r="AG395" i="1"/>
  <c r="AH395" i="1"/>
  <c r="AA395" i="1"/>
  <c r="AB395" i="1"/>
  <c r="AC395" i="1"/>
  <c r="AD395" i="1"/>
  <c r="Z395" i="1"/>
  <c r="AE381" i="1"/>
  <c r="AF381" i="1"/>
  <c r="AG381" i="1"/>
  <c r="AH381" i="1"/>
  <c r="AA381" i="1"/>
  <c r="AB381" i="1"/>
  <c r="AC381" i="1"/>
  <c r="AD381" i="1"/>
  <c r="Z381" i="1"/>
  <c r="AE378" i="1"/>
  <c r="AF378" i="1"/>
  <c r="AG378" i="1"/>
  <c r="AH378" i="1"/>
  <c r="AA378" i="1"/>
  <c r="AB378" i="1"/>
  <c r="AC378" i="1"/>
  <c r="AD378" i="1"/>
  <c r="Z378" i="1"/>
  <c r="AD179" i="1"/>
  <c r="AE179" i="1"/>
  <c r="AF179" i="1"/>
  <c r="AA179" i="1"/>
  <c r="AB179" i="1"/>
  <c r="AC179" i="1"/>
  <c r="AG179" i="1"/>
  <c r="AH179" i="1"/>
  <c r="Z179" i="1"/>
  <c r="AA80" i="1"/>
  <c r="AB80" i="1"/>
  <c r="AC80" i="1"/>
  <c r="AD80" i="1"/>
  <c r="AH80" i="1"/>
  <c r="AG80" i="1"/>
  <c r="AE80" i="1"/>
  <c r="AF80" i="1"/>
  <c r="Z80" i="1"/>
  <c r="AC281" i="1"/>
  <c r="AD281" i="1"/>
  <c r="AE281" i="1"/>
  <c r="AF281" i="1"/>
  <c r="AG281" i="1"/>
  <c r="AH281" i="1"/>
  <c r="AA281" i="1"/>
  <c r="AB281" i="1"/>
  <c r="Z281" i="1"/>
  <c r="AE484" i="1"/>
  <c r="AF484" i="1"/>
  <c r="AG484" i="1"/>
  <c r="AH484" i="1"/>
  <c r="AA484" i="1"/>
  <c r="AB484" i="1"/>
  <c r="AC484" i="1"/>
  <c r="AD484" i="1"/>
  <c r="Z484" i="1"/>
  <c r="AE487" i="1"/>
  <c r="AF487" i="1"/>
  <c r="AG487" i="1"/>
  <c r="AH487" i="1"/>
  <c r="AA487" i="1"/>
  <c r="AB487" i="1"/>
  <c r="AC487" i="1"/>
  <c r="AD487" i="1"/>
  <c r="Z487" i="1"/>
  <c r="AE479" i="1"/>
  <c r="AF479" i="1"/>
  <c r="AG479" i="1"/>
  <c r="AH479" i="1"/>
  <c r="AA479" i="1"/>
  <c r="AB479" i="1"/>
  <c r="AC479" i="1"/>
  <c r="AD479" i="1"/>
  <c r="Z479" i="1"/>
  <c r="AE468" i="1"/>
  <c r="AF468" i="1"/>
  <c r="AG468" i="1"/>
  <c r="AH468" i="1"/>
  <c r="AA468" i="1"/>
  <c r="AB468" i="1"/>
  <c r="AC468" i="1"/>
  <c r="AD468" i="1"/>
  <c r="Z468" i="1"/>
  <c r="AE470" i="1"/>
  <c r="AF470" i="1"/>
  <c r="AG470" i="1"/>
  <c r="AH470" i="1"/>
  <c r="AA470" i="1"/>
  <c r="AB470" i="1"/>
  <c r="AC470" i="1"/>
  <c r="AD470" i="1"/>
  <c r="Z470" i="1"/>
  <c r="AC316" i="1"/>
  <c r="AD316" i="1"/>
  <c r="AE316" i="1"/>
  <c r="AF316" i="1"/>
  <c r="AG316" i="1"/>
  <c r="AH316" i="1"/>
  <c r="AA316" i="1"/>
  <c r="AB316" i="1"/>
  <c r="Z316" i="1"/>
  <c r="AC285" i="1"/>
  <c r="AD285" i="1"/>
  <c r="AE285" i="1"/>
  <c r="AF285" i="1"/>
  <c r="AG285" i="1"/>
  <c r="AH285" i="1"/>
  <c r="AA285" i="1"/>
  <c r="AB285" i="1"/>
  <c r="Z285" i="1"/>
  <c r="AE471" i="1"/>
  <c r="AF471" i="1"/>
  <c r="AG471" i="1"/>
  <c r="AH471" i="1"/>
  <c r="AA471" i="1"/>
  <c r="AB471" i="1"/>
  <c r="AC471" i="1"/>
  <c r="AD471" i="1"/>
  <c r="Z471" i="1"/>
  <c r="AE477" i="1"/>
  <c r="AF477" i="1"/>
  <c r="AG477" i="1"/>
  <c r="AH477" i="1"/>
  <c r="AA477" i="1"/>
  <c r="AB477" i="1"/>
  <c r="AC477" i="1"/>
  <c r="AD477" i="1"/>
  <c r="Z477" i="1"/>
  <c r="AE417" i="1"/>
  <c r="AF417" i="1"/>
  <c r="AG417" i="1"/>
  <c r="AH417" i="1"/>
  <c r="AA417" i="1"/>
  <c r="AB417" i="1"/>
  <c r="AC417" i="1"/>
  <c r="AD417" i="1"/>
  <c r="Z417" i="1"/>
  <c r="AE392" i="1"/>
  <c r="AF392" i="1"/>
  <c r="AG392" i="1"/>
  <c r="AH392" i="1"/>
  <c r="AA392" i="1"/>
  <c r="AB392" i="1"/>
  <c r="AC392" i="1"/>
  <c r="AD392" i="1"/>
  <c r="Z392" i="1"/>
  <c r="AE445" i="1"/>
  <c r="AF445" i="1"/>
  <c r="AG445" i="1"/>
  <c r="AH445" i="1"/>
  <c r="AA445" i="1"/>
  <c r="AB445" i="1"/>
  <c r="AC445" i="1"/>
  <c r="AD445" i="1"/>
  <c r="Z445" i="1"/>
  <c r="AE396" i="1"/>
  <c r="AF396" i="1"/>
  <c r="AG396" i="1"/>
  <c r="AH396" i="1"/>
  <c r="AA396" i="1"/>
  <c r="AB396" i="1"/>
  <c r="AC396" i="1"/>
  <c r="AD396" i="1"/>
  <c r="Z396" i="1"/>
  <c r="AC308" i="1"/>
  <c r="AD308" i="1"/>
  <c r="AE308" i="1"/>
  <c r="AF308" i="1"/>
  <c r="AG308" i="1"/>
  <c r="AH308" i="1"/>
  <c r="AA308" i="1"/>
  <c r="AB308" i="1"/>
  <c r="Z308" i="1"/>
  <c r="AE361" i="1"/>
  <c r="AF361" i="1"/>
  <c r="AG361" i="1"/>
  <c r="AH361" i="1"/>
  <c r="AA361" i="1"/>
  <c r="AB361" i="1"/>
  <c r="AC361" i="1"/>
  <c r="AD361" i="1"/>
  <c r="Z361" i="1"/>
  <c r="AC321" i="1"/>
  <c r="AD321" i="1"/>
  <c r="AE321" i="1"/>
  <c r="AF321" i="1"/>
  <c r="AG321" i="1"/>
  <c r="AH321" i="1"/>
  <c r="AA321" i="1"/>
  <c r="AB321" i="1"/>
  <c r="Z321" i="1"/>
  <c r="AH243" i="1"/>
  <c r="AA243" i="1"/>
  <c r="AB243" i="1"/>
  <c r="AC243" i="1"/>
  <c r="AD243" i="1"/>
  <c r="AE243" i="1"/>
  <c r="AF243" i="1"/>
  <c r="AG243" i="1"/>
  <c r="Z243" i="1"/>
  <c r="AC325" i="1"/>
  <c r="AD325" i="1"/>
  <c r="AE325" i="1"/>
  <c r="AF325" i="1"/>
  <c r="AG325" i="1"/>
  <c r="AH325" i="1"/>
  <c r="AA325" i="1"/>
  <c r="AB325" i="1"/>
  <c r="Z325" i="1"/>
  <c r="AC277" i="1"/>
  <c r="AD277" i="1"/>
  <c r="AE277" i="1"/>
  <c r="AF277" i="1"/>
  <c r="AG277" i="1"/>
  <c r="AH277" i="1"/>
  <c r="AA277" i="1"/>
  <c r="AB277" i="1"/>
  <c r="Z277" i="1"/>
  <c r="AH229" i="1"/>
  <c r="AA229" i="1"/>
  <c r="AB229" i="1"/>
  <c r="AC229" i="1"/>
  <c r="AD229" i="1"/>
  <c r="AE229" i="1"/>
  <c r="AF229" i="1"/>
  <c r="AG229" i="1"/>
  <c r="Z229" i="1"/>
  <c r="AC282" i="1"/>
  <c r="AD282" i="1"/>
  <c r="AE282" i="1"/>
  <c r="AF282" i="1"/>
  <c r="AG282" i="1"/>
  <c r="AH282" i="1"/>
  <c r="AA282" i="1"/>
  <c r="AB282" i="1"/>
  <c r="Z282" i="1"/>
  <c r="AH224" i="1"/>
  <c r="AA224" i="1"/>
  <c r="AB224" i="1"/>
  <c r="AC224" i="1"/>
  <c r="AD224" i="1"/>
  <c r="AE224" i="1"/>
  <c r="AF224" i="1"/>
  <c r="AG224" i="1"/>
  <c r="Z224" i="1"/>
  <c r="AH228" i="1"/>
  <c r="AA228" i="1"/>
  <c r="AB228" i="1"/>
  <c r="AC228" i="1"/>
  <c r="AD228" i="1"/>
  <c r="AE228" i="1"/>
  <c r="AF228" i="1"/>
  <c r="AG228" i="1"/>
  <c r="Z228" i="1"/>
  <c r="AH210" i="1"/>
  <c r="AA210" i="1"/>
  <c r="AB210" i="1"/>
  <c r="AC210" i="1"/>
  <c r="AD210" i="1"/>
  <c r="AE210" i="1"/>
  <c r="AF210" i="1"/>
  <c r="AG210" i="1"/>
  <c r="Z210" i="1"/>
  <c r="AD146" i="1"/>
  <c r="AE146" i="1"/>
  <c r="AF146" i="1"/>
  <c r="AG146" i="1"/>
  <c r="AH146" i="1"/>
  <c r="AA146" i="1"/>
  <c r="AB146" i="1"/>
  <c r="AC146" i="1"/>
  <c r="Z146" i="1"/>
  <c r="AH191" i="1"/>
  <c r="AA191" i="1"/>
  <c r="AB191" i="1"/>
  <c r="AC191" i="1"/>
  <c r="AD191" i="1"/>
  <c r="AE191" i="1"/>
  <c r="AF191" i="1"/>
  <c r="AG191" i="1"/>
  <c r="Z191" i="1"/>
  <c r="AD139" i="1"/>
  <c r="AE139" i="1"/>
  <c r="AF139" i="1"/>
  <c r="AG139" i="1"/>
  <c r="AH139" i="1"/>
  <c r="AA139" i="1"/>
  <c r="AB139" i="1"/>
  <c r="AC139" i="1"/>
  <c r="Z139" i="1"/>
  <c r="AA83" i="1"/>
  <c r="AB83" i="1"/>
  <c r="AH83" i="1"/>
  <c r="AD83" i="1"/>
  <c r="AE83" i="1"/>
  <c r="AF83" i="1"/>
  <c r="AC83" i="1"/>
  <c r="AG83" i="1"/>
  <c r="Z83" i="1"/>
  <c r="AC132" i="1"/>
  <c r="AD132" i="1"/>
  <c r="AE132" i="1"/>
  <c r="AG132" i="1"/>
  <c r="AA132" i="1"/>
  <c r="AB132" i="1"/>
  <c r="AF132" i="1"/>
  <c r="AH132" i="1"/>
  <c r="Z132" i="1"/>
  <c r="AA51" i="1"/>
  <c r="AB51" i="1"/>
  <c r="AC51" i="1"/>
  <c r="AD51" i="1"/>
  <c r="AH51" i="1"/>
  <c r="AF51" i="1"/>
  <c r="AG51" i="1"/>
  <c r="AE51" i="1"/>
  <c r="Z51" i="1"/>
  <c r="AD168" i="1"/>
  <c r="AE168" i="1"/>
  <c r="AF168" i="1"/>
  <c r="AG168" i="1"/>
  <c r="AH168" i="1"/>
  <c r="AA168" i="1"/>
  <c r="AC168" i="1"/>
  <c r="AB168" i="1"/>
  <c r="Z168" i="1"/>
  <c r="AD160" i="1"/>
  <c r="AE160" i="1"/>
  <c r="AF160" i="1"/>
  <c r="AG160" i="1"/>
  <c r="AH160" i="1"/>
  <c r="AA160" i="1"/>
  <c r="AC160" i="1"/>
  <c r="AB160" i="1"/>
  <c r="Z160" i="1"/>
  <c r="AE449" i="1"/>
  <c r="AF449" i="1"/>
  <c r="AG449" i="1"/>
  <c r="AH449" i="1"/>
  <c r="AA449" i="1"/>
  <c r="AB449" i="1"/>
  <c r="AC449" i="1"/>
  <c r="AD449" i="1"/>
  <c r="Z449" i="1"/>
  <c r="AE488" i="1"/>
  <c r="AF488" i="1"/>
  <c r="AG488" i="1"/>
  <c r="AH488" i="1"/>
  <c r="AA488" i="1"/>
  <c r="AB488" i="1"/>
  <c r="AC488" i="1"/>
  <c r="AD488" i="1"/>
  <c r="Z488" i="1"/>
  <c r="AH237" i="1"/>
  <c r="AA237" i="1"/>
  <c r="AB237" i="1"/>
  <c r="AC237" i="1"/>
  <c r="AD237" i="1"/>
  <c r="AG237" i="1"/>
  <c r="AE237" i="1"/>
  <c r="AF237" i="1"/>
  <c r="Z237" i="1"/>
  <c r="AE457" i="1"/>
  <c r="AF457" i="1"/>
  <c r="AG457" i="1"/>
  <c r="AH457" i="1"/>
  <c r="AA457" i="1"/>
  <c r="AB457" i="1"/>
  <c r="AC457" i="1"/>
  <c r="AD457" i="1"/>
  <c r="Z457" i="1"/>
  <c r="AH207" i="1"/>
  <c r="AA207" i="1"/>
  <c r="AB207" i="1"/>
  <c r="AC207" i="1"/>
  <c r="AD207" i="1"/>
  <c r="AE207" i="1"/>
  <c r="AF207" i="1"/>
  <c r="AG207" i="1"/>
  <c r="Z207" i="1"/>
  <c r="AC99" i="1"/>
  <c r="AD99" i="1"/>
  <c r="AE99" i="1"/>
  <c r="AG99" i="1"/>
  <c r="AH99" i="1"/>
  <c r="AA99" i="1"/>
  <c r="AB99" i="1"/>
  <c r="AF99" i="1"/>
  <c r="Z99" i="1"/>
  <c r="AD177" i="1"/>
  <c r="AE177" i="1"/>
  <c r="AF177" i="1"/>
  <c r="AB177" i="1"/>
  <c r="AC177" i="1"/>
  <c r="AG177" i="1"/>
  <c r="AH177" i="1"/>
  <c r="AA177" i="1"/>
  <c r="Z177" i="1"/>
  <c r="AA30" i="1"/>
  <c r="AB30" i="1"/>
  <c r="AC30" i="1"/>
  <c r="AD30" i="1"/>
  <c r="AH30" i="1"/>
  <c r="AE30" i="1"/>
  <c r="AF30" i="1"/>
  <c r="AG30" i="1"/>
  <c r="Z30" i="1"/>
  <c r="AD172" i="1"/>
  <c r="AE172" i="1"/>
  <c r="AF172" i="1"/>
  <c r="AG172" i="1"/>
  <c r="AA172" i="1"/>
  <c r="AB172" i="1"/>
  <c r="AC172" i="1"/>
  <c r="AH172" i="1"/>
  <c r="Z172" i="1"/>
  <c r="AC121" i="1"/>
  <c r="AD121" i="1"/>
  <c r="AE121" i="1"/>
  <c r="AG121" i="1"/>
  <c r="AH121" i="1"/>
  <c r="AA121" i="1"/>
  <c r="AB121" i="1"/>
  <c r="AF121" i="1"/>
  <c r="Z121" i="1"/>
  <c r="AA69" i="1"/>
  <c r="AB69" i="1"/>
  <c r="AC69" i="1"/>
  <c r="AD69" i="1"/>
  <c r="AH69" i="1"/>
  <c r="AE69" i="1"/>
  <c r="AF69" i="1"/>
  <c r="AG69" i="1"/>
  <c r="Z69" i="1"/>
  <c r="AH249" i="1"/>
  <c r="AA249" i="1"/>
  <c r="AB249" i="1"/>
  <c r="AC249" i="1"/>
  <c r="AD249" i="1"/>
  <c r="AE249" i="1"/>
  <c r="AF249" i="1"/>
  <c r="AG249" i="1"/>
  <c r="Z249" i="1"/>
  <c r="AA65" i="1"/>
  <c r="AB65" i="1"/>
  <c r="AC65" i="1"/>
  <c r="AD65" i="1"/>
  <c r="AH65" i="1"/>
  <c r="AE65" i="1"/>
  <c r="AF65" i="1"/>
  <c r="AG65" i="1"/>
  <c r="Z65" i="1"/>
  <c r="AC310" i="1"/>
  <c r="AD310" i="1"/>
  <c r="AE310" i="1"/>
  <c r="AF310" i="1"/>
  <c r="AG310" i="1"/>
  <c r="AH310" i="1"/>
  <c r="AA310" i="1"/>
  <c r="AB310" i="1"/>
  <c r="Z310" i="1"/>
  <c r="AD141" i="1"/>
  <c r="AE141" i="1"/>
  <c r="AF141" i="1"/>
  <c r="AG141" i="1"/>
  <c r="AH141" i="1"/>
  <c r="AA141" i="1"/>
  <c r="AB141" i="1"/>
  <c r="AC141" i="1"/>
  <c r="Z141" i="1"/>
  <c r="AA57" i="1"/>
  <c r="AB57" i="1"/>
  <c r="AC57" i="1"/>
  <c r="AD57" i="1"/>
  <c r="AH57" i="1"/>
  <c r="AE57" i="1"/>
  <c r="AF57" i="1"/>
  <c r="AG57" i="1"/>
  <c r="Z57" i="1"/>
  <c r="AE442" i="1"/>
  <c r="AF442" i="1"/>
  <c r="AG442" i="1"/>
  <c r="AA442" i="1"/>
  <c r="AB442" i="1"/>
  <c r="AC442" i="1"/>
  <c r="AD442" i="1"/>
  <c r="AH442" i="1"/>
  <c r="Z442" i="1"/>
  <c r="AC274" i="1"/>
  <c r="AD274" i="1"/>
  <c r="AE274" i="1"/>
  <c r="AF274" i="1"/>
  <c r="AG274" i="1"/>
  <c r="AH274" i="1"/>
  <c r="AA274" i="1"/>
  <c r="AB274" i="1"/>
  <c r="Z274" i="1"/>
  <c r="AD161" i="1"/>
  <c r="AE161" i="1"/>
  <c r="AF161" i="1"/>
  <c r="AG161" i="1"/>
  <c r="AH161" i="1"/>
  <c r="AA161" i="1"/>
  <c r="AB161" i="1"/>
  <c r="AC161" i="1"/>
  <c r="Z161" i="1"/>
  <c r="AC342" i="1"/>
  <c r="AD342" i="1"/>
  <c r="AE342" i="1"/>
  <c r="AA342" i="1"/>
  <c r="AB342" i="1"/>
  <c r="AF342" i="1"/>
  <c r="AG342" i="1"/>
  <c r="AH342" i="1"/>
  <c r="Z342" i="1"/>
  <c r="AC103" i="1"/>
  <c r="AD103" i="1"/>
  <c r="AE103" i="1"/>
  <c r="AG103" i="1"/>
  <c r="AH103" i="1"/>
  <c r="AA103" i="1"/>
  <c r="AB103" i="1"/>
  <c r="AF103" i="1"/>
  <c r="Z103" i="1"/>
  <c r="AC336" i="1"/>
  <c r="AD336" i="1"/>
  <c r="AE336" i="1"/>
  <c r="AA336" i="1"/>
  <c r="AB336" i="1"/>
  <c r="AF336" i="1"/>
  <c r="AG336" i="1"/>
  <c r="AH336" i="1"/>
  <c r="Z336" i="1"/>
  <c r="AA73" i="1"/>
  <c r="AB73" i="1"/>
  <c r="AC73" i="1"/>
  <c r="AD73" i="1"/>
  <c r="AH73" i="1"/>
  <c r="AE73" i="1"/>
  <c r="AF73" i="1"/>
  <c r="AG73" i="1"/>
  <c r="Z73" i="1"/>
  <c r="AE420" i="1"/>
  <c r="AF420" i="1"/>
  <c r="AG420" i="1"/>
  <c r="AH420" i="1"/>
  <c r="AA420" i="1"/>
  <c r="AD420" i="1"/>
  <c r="AB420" i="1"/>
  <c r="AC420" i="1"/>
  <c r="Z420" i="1"/>
  <c r="AC320" i="1"/>
  <c r="AD320" i="1"/>
  <c r="AE320" i="1"/>
  <c r="AF320" i="1"/>
  <c r="AG320" i="1"/>
  <c r="AH320" i="1"/>
  <c r="AA320" i="1"/>
  <c r="AB320" i="1"/>
  <c r="Z320" i="1"/>
  <c r="AH206" i="1"/>
  <c r="AA206" i="1"/>
  <c r="AB206" i="1"/>
  <c r="AC206" i="1"/>
  <c r="AD206" i="1"/>
  <c r="AE206" i="1"/>
  <c r="AF206" i="1"/>
  <c r="AG206" i="1"/>
  <c r="Z206" i="1"/>
  <c r="AC278" i="1"/>
  <c r="AD278" i="1"/>
  <c r="AE278" i="1"/>
  <c r="AF278" i="1"/>
  <c r="AG278" i="1"/>
  <c r="AH278" i="1"/>
  <c r="AA278" i="1"/>
  <c r="AB278" i="1"/>
  <c r="Z278" i="1"/>
  <c r="AC280" i="1"/>
  <c r="AD280" i="1"/>
  <c r="AE280" i="1"/>
  <c r="AF280" i="1"/>
  <c r="AG280" i="1"/>
  <c r="AH280" i="1"/>
  <c r="AA280" i="1"/>
  <c r="AB280" i="1"/>
  <c r="Z280" i="1"/>
  <c r="AE429" i="1"/>
  <c r="AF429" i="1"/>
  <c r="AG429" i="1"/>
  <c r="AH429" i="1"/>
  <c r="AA429" i="1"/>
  <c r="AB429" i="1"/>
  <c r="AC429" i="1"/>
  <c r="AD429" i="1"/>
  <c r="Z429" i="1"/>
  <c r="AD144" i="1"/>
  <c r="AE144" i="1"/>
  <c r="AF144" i="1"/>
  <c r="AG144" i="1"/>
  <c r="AH144" i="1"/>
  <c r="AA144" i="1"/>
  <c r="AB144" i="1"/>
  <c r="AC144" i="1"/>
  <c r="Z144" i="1"/>
  <c r="AE408" i="1"/>
  <c r="AF408" i="1"/>
  <c r="AG408" i="1"/>
  <c r="AH408" i="1"/>
  <c r="AA408" i="1"/>
  <c r="AB408" i="1"/>
  <c r="AC408" i="1"/>
  <c r="AD408" i="1"/>
  <c r="Z408" i="1"/>
  <c r="AC87" i="1"/>
  <c r="AD87" i="1"/>
  <c r="AE87" i="1"/>
  <c r="AG87" i="1"/>
  <c r="AH87" i="1"/>
  <c r="AA87" i="1"/>
  <c r="AB87" i="1"/>
  <c r="AF87" i="1"/>
  <c r="Z87" i="1"/>
  <c r="AE368" i="1"/>
  <c r="AF368" i="1"/>
  <c r="AG368" i="1"/>
  <c r="AH368" i="1"/>
  <c r="AA368" i="1"/>
  <c r="AB368" i="1"/>
  <c r="AC368" i="1"/>
  <c r="AD368" i="1"/>
  <c r="Z368" i="1"/>
  <c r="AD153" i="1"/>
  <c r="AE153" i="1"/>
  <c r="AF153" i="1"/>
  <c r="AG153" i="1"/>
  <c r="AH153" i="1"/>
  <c r="AA153" i="1"/>
  <c r="AB153" i="1"/>
  <c r="AC153" i="1"/>
  <c r="Z153" i="1"/>
  <c r="AC272" i="1"/>
  <c r="AD272" i="1"/>
  <c r="AE272" i="1"/>
  <c r="AF272" i="1"/>
  <c r="AG272" i="1"/>
  <c r="AH272" i="1"/>
  <c r="AA272" i="1"/>
  <c r="AB272" i="1"/>
  <c r="Z272" i="1"/>
  <c r="AC306" i="1"/>
  <c r="AD306" i="1"/>
  <c r="AE306" i="1"/>
  <c r="AF306" i="1"/>
  <c r="AG306" i="1"/>
  <c r="AH306" i="1"/>
  <c r="AA306" i="1"/>
  <c r="AB306" i="1"/>
  <c r="Z306" i="1"/>
  <c r="AE430" i="1"/>
  <c r="AF430" i="1"/>
  <c r="AG430" i="1"/>
  <c r="AH430" i="1"/>
  <c r="AD430" i="1"/>
  <c r="AA430" i="1"/>
  <c r="AB430" i="1"/>
  <c r="AC430" i="1"/>
  <c r="Z430" i="1"/>
  <c r="AE473" i="1"/>
  <c r="AF473" i="1"/>
  <c r="AG473" i="1"/>
  <c r="AH473" i="1"/>
  <c r="AA473" i="1"/>
  <c r="AB473" i="1"/>
  <c r="AC473" i="1"/>
  <c r="AD473" i="1"/>
  <c r="Z473" i="1"/>
  <c r="AE399" i="1"/>
  <c r="AF399" i="1"/>
  <c r="AG399" i="1"/>
  <c r="AH399" i="1"/>
  <c r="AA399" i="1"/>
  <c r="AB399" i="1"/>
  <c r="AC399" i="1"/>
  <c r="AD399" i="1"/>
  <c r="Z399" i="1"/>
  <c r="AE426" i="1"/>
  <c r="AF426" i="1"/>
  <c r="AG426" i="1"/>
  <c r="AH426" i="1"/>
  <c r="AD426" i="1"/>
  <c r="AA426" i="1"/>
  <c r="AB426" i="1"/>
  <c r="AC426" i="1"/>
  <c r="Z426" i="1"/>
  <c r="AE434" i="1"/>
  <c r="AF434" i="1"/>
  <c r="AG434" i="1"/>
  <c r="AH434" i="1"/>
  <c r="AD434" i="1"/>
  <c r="AA434" i="1"/>
  <c r="AB434" i="1"/>
  <c r="AC434" i="1"/>
  <c r="Z434" i="1"/>
  <c r="AE463" i="1"/>
  <c r="AF463" i="1"/>
  <c r="AG463" i="1"/>
  <c r="AH463" i="1"/>
  <c r="AA463" i="1"/>
  <c r="AB463" i="1"/>
  <c r="AC463" i="1"/>
  <c r="AD463" i="1"/>
  <c r="Z463" i="1"/>
  <c r="AE500" i="1"/>
  <c r="AF500" i="1"/>
  <c r="AG500" i="1"/>
  <c r="AH500" i="1"/>
  <c r="AA500" i="1"/>
  <c r="AB500" i="1"/>
  <c r="AC500" i="1"/>
  <c r="AD500" i="1"/>
  <c r="Z500" i="1"/>
  <c r="AE493" i="1"/>
  <c r="AF493" i="1"/>
  <c r="AG493" i="1"/>
  <c r="AH493" i="1"/>
  <c r="AA493" i="1"/>
  <c r="AB493" i="1"/>
  <c r="AC493" i="1"/>
  <c r="AD493" i="1"/>
  <c r="Z493" i="1"/>
  <c r="AE486" i="1"/>
  <c r="AF486" i="1"/>
  <c r="AG486" i="1"/>
  <c r="AH486" i="1"/>
  <c r="AA486" i="1"/>
  <c r="AB486" i="1"/>
  <c r="AC486" i="1"/>
  <c r="AD486" i="1"/>
  <c r="Z486" i="1"/>
  <c r="AE371" i="1"/>
  <c r="AF371" i="1"/>
  <c r="AG371" i="1"/>
  <c r="AH371" i="1"/>
  <c r="AA371" i="1"/>
  <c r="AB371" i="1"/>
  <c r="AC371" i="1"/>
  <c r="AD371" i="1"/>
  <c r="Z371" i="1"/>
  <c r="AE382" i="1"/>
  <c r="AF382" i="1"/>
  <c r="AG382" i="1"/>
  <c r="AH382" i="1"/>
  <c r="AA382" i="1"/>
  <c r="AB382" i="1"/>
  <c r="AC382" i="1"/>
  <c r="AD382" i="1"/>
  <c r="Z382" i="1"/>
  <c r="AC300" i="1"/>
  <c r="AD300" i="1"/>
  <c r="AE300" i="1"/>
  <c r="AF300" i="1"/>
  <c r="AG300" i="1"/>
  <c r="AH300" i="1"/>
  <c r="AA300" i="1"/>
  <c r="AB300" i="1"/>
  <c r="Z300" i="1"/>
  <c r="AC260" i="1"/>
  <c r="AD260" i="1"/>
  <c r="AE260" i="1"/>
  <c r="AF260" i="1"/>
  <c r="AG260" i="1"/>
  <c r="AH260" i="1"/>
  <c r="AA260" i="1"/>
  <c r="AB260" i="1"/>
  <c r="Z260" i="1"/>
  <c r="AH252" i="1"/>
  <c r="AA252" i="1"/>
  <c r="AB252" i="1"/>
  <c r="AC252" i="1"/>
  <c r="AD252" i="1"/>
  <c r="AE252" i="1"/>
  <c r="AF252" i="1"/>
  <c r="AG252" i="1"/>
  <c r="Z252" i="1"/>
  <c r="AC268" i="1"/>
  <c r="AD268" i="1"/>
  <c r="AE268" i="1"/>
  <c r="AF268" i="1"/>
  <c r="AG268" i="1"/>
  <c r="AH268" i="1"/>
  <c r="AA268" i="1"/>
  <c r="AB268" i="1"/>
  <c r="Z268" i="1"/>
  <c r="AH221" i="1"/>
  <c r="AA221" i="1"/>
  <c r="AB221" i="1"/>
  <c r="AC221" i="1"/>
  <c r="AD221" i="1"/>
  <c r="AE221" i="1"/>
  <c r="AF221" i="1"/>
  <c r="AG221" i="1"/>
  <c r="Z221" i="1"/>
  <c r="AH223" i="1"/>
  <c r="AA223" i="1"/>
  <c r="AB223" i="1"/>
  <c r="AC223" i="1"/>
  <c r="AD223" i="1"/>
  <c r="AE223" i="1"/>
  <c r="AF223" i="1"/>
  <c r="AG223" i="1"/>
  <c r="Z223" i="1"/>
  <c r="AH211" i="1"/>
  <c r="AA211" i="1"/>
  <c r="AB211" i="1"/>
  <c r="AC211" i="1"/>
  <c r="AD211" i="1"/>
  <c r="AE211" i="1"/>
  <c r="AF211" i="1"/>
  <c r="AG211" i="1"/>
  <c r="Z211" i="1"/>
  <c r="AH215" i="1"/>
  <c r="AA215" i="1"/>
  <c r="AB215" i="1"/>
  <c r="AC215" i="1"/>
  <c r="AD215" i="1"/>
  <c r="AE215" i="1"/>
  <c r="AF215" i="1"/>
  <c r="AG215" i="1"/>
  <c r="Z215" i="1"/>
  <c r="AH205" i="1"/>
  <c r="AA205" i="1"/>
  <c r="AB205" i="1"/>
  <c r="AC205" i="1"/>
  <c r="AD205" i="1"/>
  <c r="AE205" i="1"/>
  <c r="AF205" i="1"/>
  <c r="AG205" i="1"/>
  <c r="Z205" i="1"/>
  <c r="AD147" i="1"/>
  <c r="AE147" i="1"/>
  <c r="AF147" i="1"/>
  <c r="AG147" i="1"/>
  <c r="AH147" i="1"/>
  <c r="AA147" i="1"/>
  <c r="AB147" i="1"/>
  <c r="AC147" i="1"/>
  <c r="Z147" i="1"/>
  <c r="AA21" i="1"/>
  <c r="AB21" i="1"/>
  <c r="AC21" i="1"/>
  <c r="AD21" i="1"/>
  <c r="AH21" i="1"/>
  <c r="AE21" i="1"/>
  <c r="AF21" i="1"/>
  <c r="AG21" i="1"/>
  <c r="Z21" i="1"/>
  <c r="AA67" i="1"/>
  <c r="AB67" i="1"/>
  <c r="AC67" i="1"/>
  <c r="AD67" i="1"/>
  <c r="AH67" i="1"/>
  <c r="AF67" i="1"/>
  <c r="AG67" i="1"/>
  <c r="AE67" i="1"/>
  <c r="Z67" i="1"/>
  <c r="AA68" i="1"/>
  <c r="AB68" i="1"/>
  <c r="AC68" i="1"/>
  <c r="AD68" i="1"/>
  <c r="AH68" i="1"/>
  <c r="AE68" i="1"/>
  <c r="AG68" i="1"/>
  <c r="AF68" i="1"/>
  <c r="Z68" i="1"/>
  <c r="AA32" i="1"/>
  <c r="AB32" i="1"/>
  <c r="AC32" i="1"/>
  <c r="AD32" i="1"/>
  <c r="AH32" i="1"/>
  <c r="AF32" i="1"/>
  <c r="AG32" i="1"/>
  <c r="AE32" i="1"/>
  <c r="Z32" i="1"/>
  <c r="AA60" i="1"/>
  <c r="AB60" i="1"/>
  <c r="AC60" i="1"/>
  <c r="AD60" i="1"/>
  <c r="AH60" i="1"/>
  <c r="AE60" i="1"/>
  <c r="AG60" i="1"/>
  <c r="AF60" i="1"/>
  <c r="Z60" i="1"/>
  <c r="AC126" i="1"/>
  <c r="AD126" i="1"/>
  <c r="AE126" i="1"/>
  <c r="AG126" i="1"/>
  <c r="AA126" i="1"/>
  <c r="AB126" i="1"/>
  <c r="AF126" i="1"/>
  <c r="AH126" i="1"/>
  <c r="Z126" i="1"/>
  <c r="AA75" i="1"/>
  <c r="AB75" i="1"/>
  <c r="AC75" i="1"/>
  <c r="AD75" i="1"/>
  <c r="AH75" i="1"/>
  <c r="AF75" i="1"/>
  <c r="AG75" i="1"/>
  <c r="AE75" i="1"/>
  <c r="Z75" i="1"/>
  <c r="AA12" i="1"/>
  <c r="AB12" i="1"/>
  <c r="AC12" i="1"/>
  <c r="AD12" i="1"/>
  <c r="AH12" i="1"/>
  <c r="AE12" i="1"/>
  <c r="AF12" i="1"/>
  <c r="AG12" i="1"/>
  <c r="Z12" i="1"/>
  <c r="AC326" i="1"/>
  <c r="AD326" i="1"/>
  <c r="AE326" i="1"/>
  <c r="AF326" i="1"/>
  <c r="AG326" i="1"/>
  <c r="AH326" i="1"/>
  <c r="AB326" i="1"/>
  <c r="AA326" i="1"/>
  <c r="Z326" i="1"/>
  <c r="AE489" i="1"/>
  <c r="AF489" i="1"/>
  <c r="AG489" i="1"/>
  <c r="AH489" i="1"/>
  <c r="AA489" i="1"/>
  <c r="AB489" i="1"/>
  <c r="AC489" i="1"/>
  <c r="AD489" i="1"/>
  <c r="Z489" i="1"/>
  <c r="AE483" i="1"/>
  <c r="AF483" i="1"/>
  <c r="AG483" i="1"/>
  <c r="AH483" i="1"/>
  <c r="AA483" i="1"/>
  <c r="AB483" i="1"/>
  <c r="AC483" i="1"/>
  <c r="AD483" i="1"/>
  <c r="Z483" i="1"/>
  <c r="AE373" i="1"/>
  <c r="AF373" i="1"/>
  <c r="AG373" i="1"/>
  <c r="AH373" i="1"/>
  <c r="AA373" i="1"/>
  <c r="AB373" i="1"/>
  <c r="AC373" i="1"/>
  <c r="AD373" i="1"/>
  <c r="Z373" i="1"/>
  <c r="AC317" i="1"/>
  <c r="AD317" i="1"/>
  <c r="AE317" i="1"/>
  <c r="AF317" i="1"/>
  <c r="AG317" i="1"/>
  <c r="AH317" i="1"/>
  <c r="AA317" i="1"/>
  <c r="AB317" i="1"/>
  <c r="Z317" i="1"/>
  <c r="AH235" i="1"/>
  <c r="AA235" i="1"/>
  <c r="AB235" i="1"/>
  <c r="AC235" i="1"/>
  <c r="AD235" i="1"/>
  <c r="AE235" i="1"/>
  <c r="AF235" i="1"/>
  <c r="AG235" i="1"/>
  <c r="Z235" i="1"/>
  <c r="AE433" i="1"/>
  <c r="AF433" i="1"/>
  <c r="AG433" i="1"/>
  <c r="AH433" i="1"/>
  <c r="AA433" i="1"/>
  <c r="AB433" i="1"/>
  <c r="AC433" i="1"/>
  <c r="AD433" i="1"/>
  <c r="Z433" i="1"/>
  <c r="AE480" i="1"/>
  <c r="AF480" i="1"/>
  <c r="AG480" i="1"/>
  <c r="AH480" i="1"/>
  <c r="AA480" i="1"/>
  <c r="AB480" i="1"/>
  <c r="AC480" i="1"/>
  <c r="AD480" i="1"/>
  <c r="Z480" i="1"/>
  <c r="AE435" i="1"/>
  <c r="AF435" i="1"/>
  <c r="AG435" i="1"/>
  <c r="AH435" i="1"/>
  <c r="AA435" i="1"/>
  <c r="AB435" i="1"/>
  <c r="AC435" i="1"/>
  <c r="AD435" i="1"/>
  <c r="Z435" i="1"/>
  <c r="AH202" i="1"/>
  <c r="AA202" i="1"/>
  <c r="AB202" i="1"/>
  <c r="AC202" i="1"/>
  <c r="AD202" i="1"/>
  <c r="AE202" i="1"/>
  <c r="AF202" i="1"/>
  <c r="AG202" i="1"/>
  <c r="Z202" i="1"/>
  <c r="AC91" i="1"/>
  <c r="AD91" i="1"/>
  <c r="AE91" i="1"/>
  <c r="AG91" i="1"/>
  <c r="AH91" i="1"/>
  <c r="AA91" i="1"/>
  <c r="AB91" i="1"/>
  <c r="AF91" i="1"/>
  <c r="Z91" i="1"/>
  <c r="AC264" i="1"/>
  <c r="AD264" i="1"/>
  <c r="AE264" i="1"/>
  <c r="AF264" i="1"/>
  <c r="AG264" i="1"/>
  <c r="AH264" i="1"/>
  <c r="AA264" i="1"/>
  <c r="AB264" i="1"/>
  <c r="Z264" i="1"/>
  <c r="AC118" i="1"/>
  <c r="AD118" i="1"/>
  <c r="AE118" i="1"/>
  <c r="AG118" i="1"/>
  <c r="AA118" i="1"/>
  <c r="AB118" i="1"/>
  <c r="AF118" i="1"/>
  <c r="AH118" i="1"/>
  <c r="Z118" i="1"/>
  <c r="AA16" i="1"/>
  <c r="AB16" i="1"/>
  <c r="AC16" i="1"/>
  <c r="AD16" i="1"/>
  <c r="AH16" i="1"/>
  <c r="AE16" i="1"/>
  <c r="AF16" i="1"/>
  <c r="AG16" i="1"/>
  <c r="Z16" i="1"/>
  <c r="AC114" i="1"/>
  <c r="AD114" i="1"/>
  <c r="AE114" i="1"/>
  <c r="AG114" i="1"/>
  <c r="AA114" i="1"/>
  <c r="AB114" i="1"/>
  <c r="AF114" i="1"/>
  <c r="AH114" i="1"/>
  <c r="Z114" i="1"/>
  <c r="AA64" i="1"/>
  <c r="AB64" i="1"/>
  <c r="AC64" i="1"/>
  <c r="AD64" i="1"/>
  <c r="AH64" i="1"/>
  <c r="AG64" i="1"/>
  <c r="AE64" i="1"/>
  <c r="AF64" i="1"/>
  <c r="Z64" i="1"/>
  <c r="AC327" i="1"/>
  <c r="AD327" i="1"/>
  <c r="AE327" i="1"/>
  <c r="AF327" i="1"/>
  <c r="AG327" i="1"/>
  <c r="AH327" i="1"/>
  <c r="AA327" i="1"/>
  <c r="AB327" i="1"/>
  <c r="Z327" i="1"/>
  <c r="AC314" i="1"/>
  <c r="AD314" i="1"/>
  <c r="AE314" i="1"/>
  <c r="AF314" i="1"/>
  <c r="AG314" i="1"/>
  <c r="AH314" i="1"/>
  <c r="AA314" i="1"/>
  <c r="AB314" i="1"/>
  <c r="Z314" i="1"/>
  <c r="AA86" i="1"/>
  <c r="AH86" i="1"/>
  <c r="AB86" i="1"/>
  <c r="AC86" i="1"/>
  <c r="AD86" i="1"/>
  <c r="AF86" i="1"/>
  <c r="AE86" i="1"/>
  <c r="AG86" i="1"/>
  <c r="Z86" i="1"/>
  <c r="AA20" i="1"/>
  <c r="AB20" i="1"/>
  <c r="AC20" i="1"/>
  <c r="AD20" i="1"/>
  <c r="AH20" i="1"/>
  <c r="AE20" i="1"/>
  <c r="AF20" i="1"/>
  <c r="AG20" i="1"/>
  <c r="Z20" i="1"/>
  <c r="AC102" i="1"/>
  <c r="AD102" i="1"/>
  <c r="AE102" i="1"/>
  <c r="AG102" i="1"/>
  <c r="AA102" i="1"/>
  <c r="AB102" i="1"/>
  <c r="AF102" i="1"/>
  <c r="AH102" i="1"/>
  <c r="Z102" i="1"/>
  <c r="AA48" i="1"/>
  <c r="AB48" i="1"/>
  <c r="AC48" i="1"/>
  <c r="AD48" i="1"/>
  <c r="AH48" i="1"/>
  <c r="AF48" i="1"/>
  <c r="AG48" i="1"/>
  <c r="AE48" i="1"/>
  <c r="Z48" i="1"/>
  <c r="AA55" i="1"/>
  <c r="AB55" i="1"/>
  <c r="AC55" i="1"/>
  <c r="AD55" i="1"/>
  <c r="AH55" i="1"/>
  <c r="AF55" i="1"/>
  <c r="AG55" i="1"/>
  <c r="AE55" i="1"/>
  <c r="Z55" i="1"/>
  <c r="AE465" i="1"/>
  <c r="AF465" i="1"/>
  <c r="AG465" i="1"/>
  <c r="AH465" i="1"/>
  <c r="AA465" i="1"/>
  <c r="AB465" i="1"/>
  <c r="AC465" i="1"/>
  <c r="AD465" i="1"/>
  <c r="Z465" i="1"/>
  <c r="AE414" i="1"/>
  <c r="AF414" i="1"/>
  <c r="AG414" i="1"/>
  <c r="AH414" i="1"/>
  <c r="AA414" i="1"/>
  <c r="AB414" i="1"/>
  <c r="AC414" i="1"/>
  <c r="AD414" i="1"/>
  <c r="Z414" i="1"/>
  <c r="AE464" i="1"/>
  <c r="AF464" i="1"/>
  <c r="AG464" i="1"/>
  <c r="AH464" i="1"/>
  <c r="AA464" i="1"/>
  <c r="AB464" i="1"/>
  <c r="AC464" i="1"/>
  <c r="AD464" i="1"/>
  <c r="Z464" i="1"/>
  <c r="AE416" i="1"/>
  <c r="AF416" i="1"/>
  <c r="AG416" i="1"/>
  <c r="AH416" i="1"/>
  <c r="AA416" i="1"/>
  <c r="AB416" i="1"/>
  <c r="AC416" i="1"/>
  <c r="AD416" i="1"/>
  <c r="Z416" i="1"/>
  <c r="AE413" i="1"/>
  <c r="AF413" i="1"/>
  <c r="AG413" i="1"/>
  <c r="AH413" i="1"/>
  <c r="AA413" i="1"/>
  <c r="AB413" i="1"/>
  <c r="AC413" i="1"/>
  <c r="AD413" i="1"/>
  <c r="Z413" i="1"/>
  <c r="AC116" i="1"/>
  <c r="AD116" i="1"/>
  <c r="AE116" i="1"/>
  <c r="AG116" i="1"/>
  <c r="AA116" i="1"/>
  <c r="AB116" i="1"/>
  <c r="AF116" i="1"/>
  <c r="AH116" i="1"/>
  <c r="Z116" i="1"/>
  <c r="AC354" i="1"/>
  <c r="AA354" i="1"/>
  <c r="AB354" i="1"/>
  <c r="AD354" i="1"/>
  <c r="AE354" i="1"/>
  <c r="AF354" i="1"/>
  <c r="AG354" i="1"/>
  <c r="AH354" i="1"/>
  <c r="Z354" i="1"/>
  <c r="AE364" i="1"/>
  <c r="AF364" i="1"/>
  <c r="AG364" i="1"/>
  <c r="AH364" i="1"/>
  <c r="AA364" i="1"/>
  <c r="AB364" i="1"/>
  <c r="AC364" i="1"/>
  <c r="AD364" i="1"/>
  <c r="Z364" i="1"/>
  <c r="AA50" i="1"/>
  <c r="AB50" i="1"/>
  <c r="AC50" i="1"/>
  <c r="AD50" i="1"/>
  <c r="AH50" i="1"/>
  <c r="AE50" i="1"/>
  <c r="AF50" i="1"/>
  <c r="AG50" i="1"/>
  <c r="Z50" i="1"/>
  <c r="AC298" i="1"/>
  <c r="AD298" i="1"/>
  <c r="AE298" i="1"/>
  <c r="AF298" i="1"/>
  <c r="AG298" i="1"/>
  <c r="AH298" i="1"/>
  <c r="AA298" i="1"/>
  <c r="AB298" i="1"/>
  <c r="Z298" i="1"/>
  <c r="AC279" i="1"/>
  <c r="AD279" i="1"/>
  <c r="AE279" i="1"/>
  <c r="AF279" i="1"/>
  <c r="AG279" i="1"/>
  <c r="AH279" i="1"/>
  <c r="AA279" i="1"/>
  <c r="AB279" i="1"/>
  <c r="Z279" i="1"/>
  <c r="AE444" i="1"/>
  <c r="AF444" i="1"/>
  <c r="AG444" i="1"/>
  <c r="AH444" i="1"/>
  <c r="AA444" i="1"/>
  <c r="AB444" i="1"/>
  <c r="AC444" i="1"/>
  <c r="AD444" i="1"/>
  <c r="Z444" i="1"/>
  <c r="AG443" i="1"/>
  <c r="AD443" i="1"/>
  <c r="AE443" i="1"/>
  <c r="AF443" i="1"/>
  <c r="AH443" i="1"/>
  <c r="AA443" i="1"/>
  <c r="AB443" i="1"/>
  <c r="AC443" i="1"/>
  <c r="Z443" i="1"/>
  <c r="AE410" i="1"/>
  <c r="AF410" i="1"/>
  <c r="AG410" i="1"/>
  <c r="AH410" i="1"/>
  <c r="AA410" i="1"/>
  <c r="AB410" i="1"/>
  <c r="AC410" i="1"/>
  <c r="AD410" i="1"/>
  <c r="Z410" i="1"/>
  <c r="AE451" i="1"/>
  <c r="AF451" i="1"/>
  <c r="AG451" i="1"/>
  <c r="AH451" i="1"/>
  <c r="AA451" i="1"/>
  <c r="AB451" i="1"/>
  <c r="AC451" i="1"/>
  <c r="AD451" i="1"/>
  <c r="Z451" i="1"/>
  <c r="AC357" i="1"/>
  <c r="AD357" i="1"/>
  <c r="AE357" i="1"/>
  <c r="AF357" i="1"/>
  <c r="AG357" i="1"/>
  <c r="AH357" i="1"/>
  <c r="AA357" i="1"/>
  <c r="AB357" i="1"/>
  <c r="Z357" i="1"/>
  <c r="AE372" i="1"/>
  <c r="AF372" i="1"/>
  <c r="AG372" i="1"/>
  <c r="AH372" i="1"/>
  <c r="AA372" i="1"/>
  <c r="AB372" i="1"/>
  <c r="AC372" i="1"/>
  <c r="AD372" i="1"/>
  <c r="Z372" i="1"/>
  <c r="AE401" i="1"/>
  <c r="AF401" i="1"/>
  <c r="AG401" i="1"/>
  <c r="AH401" i="1"/>
  <c r="AA401" i="1"/>
  <c r="AB401" i="1"/>
  <c r="AC401" i="1"/>
  <c r="AD401" i="1"/>
  <c r="Z401" i="1"/>
  <c r="AC334" i="1"/>
  <c r="AD334" i="1"/>
  <c r="AE334" i="1"/>
  <c r="AA334" i="1"/>
  <c r="AB334" i="1"/>
  <c r="AF334" i="1"/>
  <c r="AG334" i="1"/>
  <c r="AH334" i="1"/>
  <c r="Z334" i="1"/>
  <c r="AC324" i="1"/>
  <c r="AD324" i="1"/>
  <c r="AE324" i="1"/>
  <c r="AF324" i="1"/>
  <c r="AG324" i="1"/>
  <c r="AH324" i="1"/>
  <c r="AA324" i="1"/>
  <c r="AB324" i="1"/>
  <c r="Z324" i="1"/>
  <c r="AC292" i="1"/>
  <c r="AD292" i="1"/>
  <c r="AE292" i="1"/>
  <c r="AF292" i="1"/>
  <c r="AG292" i="1"/>
  <c r="AH292" i="1"/>
  <c r="AA292" i="1"/>
  <c r="AB292" i="1"/>
  <c r="Z292" i="1"/>
  <c r="AC299" i="1"/>
  <c r="AD299" i="1"/>
  <c r="AE299" i="1"/>
  <c r="AF299" i="1"/>
  <c r="AG299" i="1"/>
  <c r="AH299" i="1"/>
  <c r="AA299" i="1"/>
  <c r="AB299" i="1"/>
  <c r="Z299" i="1"/>
  <c r="AH218" i="1"/>
  <c r="AA218" i="1"/>
  <c r="AB218" i="1"/>
  <c r="AC218" i="1"/>
  <c r="AD218" i="1"/>
  <c r="AE218" i="1"/>
  <c r="AF218" i="1"/>
  <c r="AG218" i="1"/>
  <c r="Z218" i="1"/>
  <c r="AH230" i="1"/>
  <c r="AA230" i="1"/>
  <c r="AB230" i="1"/>
  <c r="AC230" i="1"/>
  <c r="AD230" i="1"/>
  <c r="AE230" i="1"/>
  <c r="AF230" i="1"/>
  <c r="AG230" i="1"/>
  <c r="Z230" i="1"/>
  <c r="AH203" i="1"/>
  <c r="AA203" i="1"/>
  <c r="AB203" i="1"/>
  <c r="AC203" i="1"/>
  <c r="AD203" i="1"/>
  <c r="AE203" i="1"/>
  <c r="AF203" i="1"/>
  <c r="AG203" i="1"/>
  <c r="Z203" i="1"/>
  <c r="AH208" i="1"/>
  <c r="AA208" i="1"/>
  <c r="AB208" i="1"/>
  <c r="AC208" i="1"/>
  <c r="AD208" i="1"/>
  <c r="AE208" i="1"/>
  <c r="AF208" i="1"/>
  <c r="AG208" i="1"/>
  <c r="Z208" i="1"/>
  <c r="AH189" i="1"/>
  <c r="AA189" i="1"/>
  <c r="AB189" i="1"/>
  <c r="AC189" i="1"/>
  <c r="AD189" i="1"/>
  <c r="AE189" i="1"/>
  <c r="AF189" i="1"/>
  <c r="AG189" i="1"/>
  <c r="Z189" i="1"/>
  <c r="AC125" i="1"/>
  <c r="AD125" i="1"/>
  <c r="AE125" i="1"/>
  <c r="AG125" i="1"/>
  <c r="AH125" i="1"/>
  <c r="AA125" i="1"/>
  <c r="AB125" i="1"/>
  <c r="AF125" i="1"/>
  <c r="Z125" i="1"/>
  <c r="AC131" i="1"/>
  <c r="AD131" i="1"/>
  <c r="AE131" i="1"/>
  <c r="AG131" i="1"/>
  <c r="AH131" i="1"/>
  <c r="AA131" i="1"/>
  <c r="AB131" i="1"/>
  <c r="AF131" i="1"/>
  <c r="Z131" i="1"/>
  <c r="AC117" i="1"/>
  <c r="AD117" i="1"/>
  <c r="AE117" i="1"/>
  <c r="AG117" i="1"/>
  <c r="AH117" i="1"/>
  <c r="AA117" i="1"/>
  <c r="AB117" i="1"/>
  <c r="AF117" i="1"/>
  <c r="Z117" i="1"/>
  <c r="AA85" i="1"/>
  <c r="AH85" i="1"/>
  <c r="AB85" i="1"/>
  <c r="AD85" i="1"/>
  <c r="AE85" i="1"/>
  <c r="AF85" i="1"/>
  <c r="AG85" i="1"/>
  <c r="AC85" i="1"/>
  <c r="Z85" i="1"/>
  <c r="AE363" i="1"/>
  <c r="AF363" i="1"/>
  <c r="AG363" i="1"/>
  <c r="AH363" i="1"/>
  <c r="AA363" i="1"/>
  <c r="AB363" i="1"/>
  <c r="AC363" i="1"/>
  <c r="AD363" i="1"/>
  <c r="Z363" i="1"/>
  <c r="AD173" i="1"/>
  <c r="AE173" i="1"/>
  <c r="AF173" i="1"/>
  <c r="AG173" i="1"/>
  <c r="AB173" i="1"/>
  <c r="AC173" i="1"/>
  <c r="AH173" i="1"/>
  <c r="AA173" i="1"/>
  <c r="Z173" i="1"/>
  <c r="AA5" i="1"/>
  <c r="AB5" i="1"/>
  <c r="AC5" i="1"/>
  <c r="AD5" i="1"/>
  <c r="AH5" i="1"/>
  <c r="AE5" i="1"/>
  <c r="AF5" i="1"/>
  <c r="AG5" i="1"/>
  <c r="Z5" i="1"/>
  <c r="AD151" i="1"/>
  <c r="AE151" i="1"/>
  <c r="AF151" i="1"/>
  <c r="AG151" i="1"/>
  <c r="AH151" i="1"/>
  <c r="AA151" i="1"/>
  <c r="AB151" i="1"/>
  <c r="AC151" i="1"/>
  <c r="Z151" i="1"/>
  <c r="AC106" i="1"/>
  <c r="AD106" i="1"/>
  <c r="AE106" i="1"/>
  <c r="AG106" i="1"/>
  <c r="AA106" i="1"/>
  <c r="AB106" i="1"/>
  <c r="AF106" i="1"/>
  <c r="AH106" i="1"/>
  <c r="Z106" i="1"/>
  <c r="AE384" i="1"/>
  <c r="AF384" i="1"/>
  <c r="AG384" i="1"/>
  <c r="AH384" i="1"/>
  <c r="AA384" i="1"/>
  <c r="AB384" i="1"/>
  <c r="AC384" i="1"/>
  <c r="AD384" i="1"/>
  <c r="Z384" i="1"/>
  <c r="AC288" i="1"/>
  <c r="AD288" i="1"/>
  <c r="AE288" i="1"/>
  <c r="AF288" i="1"/>
  <c r="AG288" i="1"/>
  <c r="AH288" i="1"/>
  <c r="AA288" i="1"/>
  <c r="AB288" i="1"/>
  <c r="Z288" i="1"/>
  <c r="AA9" i="1"/>
  <c r="AB9" i="1"/>
  <c r="AC9" i="1"/>
  <c r="AD9" i="1"/>
  <c r="AH9" i="1"/>
  <c r="AF9" i="1"/>
  <c r="AG9" i="1"/>
  <c r="AE9" i="1"/>
  <c r="Z9" i="1"/>
  <c r="AA84" i="1"/>
  <c r="AH84" i="1"/>
  <c r="AF84" i="1"/>
  <c r="AG84" i="1"/>
  <c r="AB84" i="1"/>
  <c r="AC84" i="1"/>
  <c r="AD84" i="1"/>
  <c r="AE84" i="1"/>
  <c r="Z84" i="1"/>
  <c r="AA31" i="1"/>
  <c r="AB31" i="1"/>
  <c r="AC31" i="1"/>
  <c r="AD31" i="1"/>
  <c r="AH31" i="1"/>
  <c r="AE31" i="1"/>
  <c r="AF31" i="1"/>
  <c r="AG31" i="1"/>
  <c r="Z31" i="1"/>
  <c r="AE427" i="1"/>
  <c r="AF427" i="1"/>
  <c r="AG427" i="1"/>
  <c r="AH427" i="1"/>
  <c r="AA427" i="1"/>
  <c r="AB427" i="1"/>
  <c r="AC427" i="1"/>
  <c r="AD427" i="1"/>
  <c r="Z427" i="1"/>
  <c r="AA63" i="1"/>
  <c r="AB63" i="1"/>
  <c r="AC63" i="1"/>
  <c r="AD63" i="1"/>
  <c r="AH63" i="1"/>
  <c r="AF63" i="1"/>
  <c r="AE63" i="1"/>
  <c r="AG63" i="1"/>
  <c r="Z63" i="1"/>
  <c r="AE494" i="1"/>
  <c r="AF494" i="1"/>
  <c r="AG494" i="1"/>
  <c r="AH494" i="1"/>
  <c r="AA494" i="1"/>
  <c r="AB494" i="1"/>
  <c r="AC494" i="1"/>
  <c r="AD494" i="1"/>
  <c r="Z494" i="1"/>
  <c r="AE394" i="1"/>
  <c r="AF394" i="1"/>
  <c r="AG394" i="1"/>
  <c r="AH394" i="1"/>
  <c r="AA394" i="1"/>
  <c r="AB394" i="1"/>
  <c r="AC394" i="1"/>
  <c r="AD394" i="1"/>
  <c r="Z394" i="1"/>
  <c r="AC312" i="1"/>
  <c r="AD312" i="1"/>
  <c r="AE312" i="1"/>
  <c r="AF312" i="1"/>
  <c r="AG312" i="1"/>
  <c r="AH312" i="1"/>
  <c r="AA312" i="1"/>
  <c r="AB312" i="1"/>
  <c r="Z312" i="1"/>
  <c r="AD142" i="1"/>
  <c r="AE142" i="1"/>
  <c r="AF142" i="1"/>
  <c r="AG142" i="1"/>
  <c r="AH142" i="1"/>
  <c r="AA142" i="1"/>
  <c r="AB142" i="1"/>
  <c r="AC142" i="1"/>
  <c r="Z142" i="1"/>
  <c r="AE438" i="1"/>
  <c r="AF438" i="1"/>
  <c r="AG438" i="1"/>
  <c r="AH438" i="1"/>
  <c r="AD438" i="1"/>
  <c r="AA438" i="1"/>
  <c r="AB438" i="1"/>
  <c r="AC438" i="1"/>
  <c r="Z438" i="1"/>
  <c r="AC262" i="1"/>
  <c r="AD262" i="1"/>
  <c r="AE262" i="1"/>
  <c r="AF262" i="1"/>
  <c r="AG262" i="1"/>
  <c r="AH262" i="1"/>
  <c r="AA262" i="1"/>
  <c r="AB262" i="1"/>
  <c r="Z262" i="1"/>
  <c r="AH238" i="1"/>
  <c r="AA238" i="1"/>
  <c r="AB238" i="1"/>
  <c r="AC238" i="1"/>
  <c r="AD238" i="1"/>
  <c r="AE238" i="1"/>
  <c r="AF238" i="1"/>
  <c r="AG238" i="1"/>
  <c r="Z238" i="1"/>
  <c r="AA26" i="1"/>
  <c r="AB26" i="1"/>
  <c r="AC26" i="1"/>
  <c r="AD26" i="1"/>
  <c r="AH26" i="1"/>
  <c r="AE26" i="1"/>
  <c r="AF26" i="1"/>
  <c r="AG26" i="1"/>
  <c r="Z26" i="1"/>
  <c r="AE398" i="1"/>
  <c r="AF398" i="1"/>
  <c r="AG398" i="1"/>
  <c r="AH398" i="1"/>
  <c r="AA398" i="1"/>
  <c r="AB398" i="1"/>
  <c r="AC398" i="1"/>
  <c r="AD398" i="1"/>
  <c r="Z398" i="1"/>
  <c r="AC105" i="1"/>
  <c r="AD105" i="1"/>
  <c r="AE105" i="1"/>
  <c r="AG105" i="1"/>
  <c r="AH105" i="1"/>
  <c r="AA105" i="1"/>
  <c r="AB105" i="1"/>
  <c r="AF105" i="1"/>
  <c r="Z105" i="1"/>
  <c r="AC318" i="1"/>
  <c r="AD318" i="1"/>
  <c r="AE318" i="1"/>
  <c r="AF318" i="1"/>
  <c r="AG318" i="1"/>
  <c r="AH318" i="1"/>
  <c r="AA318" i="1"/>
  <c r="AB318" i="1"/>
  <c r="Z318" i="1"/>
  <c r="AC137" i="1"/>
  <c r="AD137" i="1"/>
  <c r="AE137" i="1"/>
  <c r="AG137" i="1"/>
  <c r="AH137" i="1"/>
  <c r="AA137" i="1"/>
  <c r="AB137" i="1"/>
  <c r="AF137" i="1"/>
  <c r="Z137" i="1"/>
  <c r="AE360" i="1"/>
  <c r="AF360" i="1"/>
  <c r="AG360" i="1"/>
  <c r="AH360" i="1"/>
  <c r="AA360" i="1"/>
  <c r="AB360" i="1"/>
  <c r="AC360" i="1"/>
  <c r="AD360" i="1"/>
  <c r="Z360" i="1"/>
  <c r="AA46" i="1"/>
  <c r="AB46" i="1"/>
  <c r="AC46" i="1"/>
  <c r="AD46" i="1"/>
  <c r="AH46" i="1"/>
  <c r="AE46" i="1"/>
  <c r="AF46" i="1"/>
  <c r="AG46" i="1"/>
  <c r="Z46" i="1"/>
  <c r="AA81" i="1"/>
  <c r="AB81" i="1"/>
  <c r="AC81" i="1"/>
  <c r="AD81" i="1"/>
  <c r="AH81" i="1"/>
  <c r="AE81" i="1"/>
  <c r="AF81" i="1"/>
  <c r="AG81" i="1"/>
  <c r="Z81" i="1"/>
  <c r="AH220" i="1"/>
  <c r="AA220" i="1"/>
  <c r="AB220" i="1"/>
  <c r="AC220" i="1"/>
  <c r="AD220" i="1"/>
  <c r="AE220" i="1"/>
  <c r="AF220" i="1"/>
  <c r="AG220" i="1"/>
  <c r="Z220" i="1"/>
  <c r="AH247" i="1"/>
  <c r="AA247" i="1"/>
  <c r="AB247" i="1"/>
  <c r="AC247" i="1"/>
  <c r="AD247" i="1"/>
  <c r="AE247" i="1"/>
  <c r="AF247" i="1"/>
  <c r="AG247" i="1"/>
  <c r="Z247" i="1"/>
  <c r="AE472" i="1"/>
  <c r="AF472" i="1"/>
  <c r="AG472" i="1"/>
  <c r="AH472" i="1"/>
  <c r="AA472" i="1"/>
  <c r="AB472" i="1"/>
  <c r="AC472" i="1"/>
  <c r="AD472" i="1"/>
  <c r="Z472" i="1"/>
  <c r="AE461" i="1"/>
  <c r="AF461" i="1"/>
  <c r="AG461" i="1"/>
  <c r="AH461" i="1"/>
  <c r="AA461" i="1"/>
  <c r="AB461" i="1"/>
  <c r="AC461" i="1"/>
  <c r="AD461" i="1"/>
  <c r="Z461" i="1"/>
  <c r="AE447" i="1"/>
  <c r="AF447" i="1"/>
  <c r="AG447" i="1"/>
  <c r="AH447" i="1"/>
  <c r="AA447" i="1"/>
  <c r="AB447" i="1"/>
  <c r="AC447" i="1"/>
  <c r="AD447" i="1"/>
  <c r="Z447" i="1"/>
  <c r="AE492" i="1"/>
  <c r="AF492" i="1"/>
  <c r="AG492" i="1"/>
  <c r="AH492" i="1"/>
  <c r="AA492" i="1"/>
  <c r="AB492" i="1"/>
  <c r="AC492" i="1"/>
  <c r="AD492" i="1"/>
  <c r="Z492" i="1"/>
  <c r="AE431" i="1"/>
  <c r="AF431" i="1"/>
  <c r="AG431" i="1"/>
  <c r="AH431" i="1"/>
  <c r="AA431" i="1"/>
  <c r="AB431" i="1"/>
  <c r="AC431" i="1"/>
  <c r="AD431" i="1"/>
  <c r="Z431" i="1"/>
  <c r="AE406" i="1"/>
  <c r="AF406" i="1"/>
  <c r="AG406" i="1"/>
  <c r="AH406" i="1"/>
  <c r="AA406" i="1"/>
  <c r="AB406" i="1"/>
  <c r="AC406" i="1"/>
  <c r="AD406" i="1"/>
  <c r="Z406" i="1"/>
  <c r="AC313" i="1"/>
  <c r="AD313" i="1"/>
  <c r="AE313" i="1"/>
  <c r="AF313" i="1"/>
  <c r="AG313" i="1"/>
  <c r="AH313" i="1"/>
  <c r="AA313" i="1"/>
  <c r="AB313" i="1"/>
  <c r="Z313" i="1"/>
  <c r="AC275" i="1"/>
  <c r="AD275" i="1"/>
  <c r="AE275" i="1"/>
  <c r="AF275" i="1"/>
  <c r="AG275" i="1"/>
  <c r="AH275" i="1"/>
  <c r="AA275" i="1"/>
  <c r="AB275" i="1"/>
  <c r="Z275" i="1"/>
  <c r="AE375" i="1"/>
  <c r="AF375" i="1"/>
  <c r="AG375" i="1"/>
  <c r="AH375" i="1"/>
  <c r="AA375" i="1"/>
  <c r="AB375" i="1"/>
  <c r="AC375" i="1"/>
  <c r="AD375" i="1"/>
  <c r="Z375" i="1"/>
  <c r="AH244" i="1"/>
  <c r="AA244" i="1"/>
  <c r="AB244" i="1"/>
  <c r="AC244" i="1"/>
  <c r="AD244" i="1"/>
  <c r="AE244" i="1"/>
  <c r="AF244" i="1"/>
  <c r="AG244" i="1"/>
  <c r="Z244" i="1"/>
  <c r="AC265" i="1"/>
  <c r="AD265" i="1"/>
  <c r="AE265" i="1"/>
  <c r="AF265" i="1"/>
  <c r="AG265" i="1"/>
  <c r="AH265" i="1"/>
  <c r="AA265" i="1"/>
  <c r="AB265" i="1"/>
  <c r="Z265" i="1"/>
  <c r="AC307" i="1"/>
  <c r="AD307" i="1"/>
  <c r="AE307" i="1"/>
  <c r="AF307" i="1"/>
  <c r="AG307" i="1"/>
  <c r="AH307" i="1"/>
  <c r="AA307" i="1"/>
  <c r="AB307" i="1"/>
  <c r="Z307" i="1"/>
  <c r="AE365" i="1"/>
  <c r="AF365" i="1"/>
  <c r="AG365" i="1"/>
  <c r="AH365" i="1"/>
  <c r="AA365" i="1"/>
  <c r="AB365" i="1"/>
  <c r="AC365" i="1"/>
  <c r="AD365" i="1"/>
  <c r="Z365" i="1"/>
  <c r="AC322" i="1"/>
  <c r="AD322" i="1"/>
  <c r="AE322" i="1"/>
  <c r="AF322" i="1"/>
  <c r="AG322" i="1"/>
  <c r="AH322" i="1"/>
  <c r="AB322" i="1"/>
  <c r="AA322" i="1"/>
  <c r="Z322" i="1"/>
  <c r="AD183" i="1"/>
  <c r="AE183" i="1"/>
  <c r="AF183" i="1"/>
  <c r="AG183" i="1"/>
  <c r="AH183" i="1"/>
  <c r="AA183" i="1"/>
  <c r="AB183" i="1"/>
  <c r="AC183" i="1"/>
  <c r="Z183" i="1"/>
  <c r="AC124" i="1"/>
  <c r="AD124" i="1"/>
  <c r="AE124" i="1"/>
  <c r="AG124" i="1"/>
  <c r="AA124" i="1"/>
  <c r="AB124" i="1"/>
  <c r="AF124" i="1"/>
  <c r="AH124" i="1"/>
  <c r="Z124" i="1"/>
  <c r="AA70" i="1"/>
  <c r="AB70" i="1"/>
  <c r="AC70" i="1"/>
  <c r="AD70" i="1"/>
  <c r="AH70" i="1"/>
  <c r="AE70" i="1"/>
  <c r="AF70" i="1"/>
  <c r="AG70" i="1"/>
  <c r="Z70" i="1"/>
  <c r="AA17" i="1"/>
  <c r="AB17" i="1"/>
  <c r="AC17" i="1"/>
  <c r="AD17" i="1"/>
  <c r="AH17" i="1"/>
  <c r="AF17" i="1"/>
  <c r="AG17" i="1"/>
  <c r="AE17" i="1"/>
  <c r="Z17" i="1"/>
  <c r="AA44" i="1"/>
  <c r="AB44" i="1"/>
  <c r="AC44" i="1"/>
  <c r="AD44" i="1"/>
  <c r="AH44" i="1"/>
  <c r="AE44" i="1"/>
  <c r="AF44" i="1"/>
  <c r="AG44" i="1"/>
  <c r="Z44" i="1"/>
  <c r="AC115" i="1"/>
  <c r="AD115" i="1"/>
  <c r="AE115" i="1"/>
  <c r="AG115" i="1"/>
  <c r="AH115" i="1"/>
  <c r="AA115" i="1"/>
  <c r="AB115" i="1"/>
  <c r="AF115" i="1"/>
  <c r="Z115" i="1"/>
  <c r="AC128" i="1"/>
  <c r="AD128" i="1"/>
  <c r="AE128" i="1"/>
  <c r="AG128" i="1"/>
  <c r="AA128" i="1"/>
  <c r="AB128" i="1"/>
  <c r="AF128" i="1"/>
  <c r="AH128" i="1"/>
  <c r="Z128" i="1"/>
  <c r="AA54" i="1"/>
  <c r="AB54" i="1"/>
  <c r="AC54" i="1"/>
  <c r="AD54" i="1"/>
  <c r="AH54" i="1"/>
  <c r="AE54" i="1"/>
  <c r="AF54" i="1"/>
  <c r="AG54" i="1"/>
  <c r="Z54" i="1"/>
  <c r="AE466" i="1"/>
  <c r="AF466" i="1"/>
  <c r="AG466" i="1"/>
  <c r="AH466" i="1"/>
  <c r="AA466" i="1"/>
  <c r="AB466" i="1"/>
  <c r="AC466" i="1"/>
  <c r="AD466" i="1"/>
  <c r="Z466" i="1"/>
  <c r="AC290" i="1"/>
  <c r="AD290" i="1"/>
  <c r="AE290" i="1"/>
  <c r="AF290" i="1"/>
  <c r="AG290" i="1"/>
  <c r="AH290" i="1"/>
  <c r="AA290" i="1"/>
  <c r="AB290" i="1"/>
  <c r="Z290" i="1"/>
  <c r="AE425" i="1"/>
  <c r="AF425" i="1"/>
  <c r="AG425" i="1"/>
  <c r="AH425" i="1"/>
  <c r="AA425" i="1"/>
  <c r="AB425" i="1"/>
  <c r="AC425" i="1"/>
  <c r="AD425" i="1"/>
  <c r="Z425" i="1"/>
  <c r="AE459" i="1"/>
  <c r="AF459" i="1"/>
  <c r="AG459" i="1"/>
  <c r="AH459" i="1"/>
  <c r="AA459" i="1"/>
  <c r="AB459" i="1"/>
  <c r="AC459" i="1"/>
  <c r="AD459" i="1"/>
  <c r="Z459" i="1"/>
  <c r="AC344" i="1"/>
  <c r="AD344" i="1"/>
  <c r="AH344" i="1"/>
  <c r="AA344" i="1"/>
  <c r="AB344" i="1"/>
  <c r="AE344" i="1"/>
  <c r="AF344" i="1"/>
  <c r="AG344" i="1"/>
  <c r="Z344" i="1"/>
  <c r="AE377" i="1"/>
  <c r="AF377" i="1"/>
  <c r="AG377" i="1"/>
  <c r="AH377" i="1"/>
  <c r="AA377" i="1"/>
  <c r="AB377" i="1"/>
  <c r="AC377" i="1"/>
  <c r="AD377" i="1"/>
  <c r="Z377" i="1"/>
  <c r="AD167" i="1"/>
  <c r="AE167" i="1"/>
  <c r="AF167" i="1"/>
  <c r="AG167" i="1"/>
  <c r="AH167" i="1"/>
  <c r="AA167" i="1"/>
  <c r="AB167" i="1"/>
  <c r="AC167" i="1"/>
  <c r="Z167" i="1"/>
  <c r="AA62" i="1"/>
  <c r="AB62" i="1"/>
  <c r="AC62" i="1"/>
  <c r="AD62" i="1"/>
  <c r="AH62" i="1"/>
  <c r="AE62" i="1"/>
  <c r="AF62" i="1"/>
  <c r="AG62" i="1"/>
  <c r="Z62" i="1"/>
  <c r="AH242" i="1"/>
  <c r="AA242" i="1"/>
  <c r="AB242" i="1"/>
  <c r="AC242" i="1"/>
  <c r="AD242" i="1"/>
  <c r="AE242" i="1"/>
  <c r="AF242" i="1"/>
  <c r="AG242" i="1"/>
  <c r="Z242" i="1"/>
  <c r="AD150" i="1"/>
  <c r="AE150" i="1"/>
  <c r="AF150" i="1"/>
  <c r="AG150" i="1"/>
  <c r="AH150" i="1"/>
  <c r="AA150" i="1"/>
  <c r="AB150" i="1"/>
  <c r="AC150" i="1"/>
  <c r="Z150" i="1"/>
  <c r="AC303" i="1"/>
  <c r="AD303" i="1"/>
  <c r="AE303" i="1"/>
  <c r="AF303" i="1"/>
  <c r="AG303" i="1"/>
  <c r="AH303" i="1"/>
  <c r="AA303" i="1"/>
  <c r="AB303" i="1"/>
  <c r="Z303" i="1"/>
  <c r="AH233" i="1"/>
  <c r="AA233" i="1"/>
  <c r="AB233" i="1"/>
  <c r="AC233" i="1"/>
  <c r="AD233" i="1"/>
  <c r="AE233" i="1"/>
  <c r="AF233" i="1"/>
  <c r="AG233" i="1"/>
  <c r="Z233" i="1"/>
  <c r="AE380" i="1"/>
  <c r="AF380" i="1"/>
  <c r="AG380" i="1"/>
  <c r="AH380" i="1"/>
  <c r="AA380" i="1"/>
  <c r="AB380" i="1"/>
  <c r="AC380" i="1"/>
  <c r="AD380" i="1"/>
  <c r="Z380" i="1"/>
  <c r="AC263" i="1"/>
  <c r="AD263" i="1"/>
  <c r="AE263" i="1"/>
  <c r="AF263" i="1"/>
  <c r="AG263" i="1"/>
  <c r="AH263" i="1"/>
  <c r="AA263" i="1"/>
  <c r="AB263" i="1"/>
  <c r="Z263" i="1"/>
  <c r="AA56" i="1"/>
  <c r="AB56" i="1"/>
  <c r="AC56" i="1"/>
  <c r="AD56" i="1"/>
  <c r="AH56" i="1"/>
  <c r="AG56" i="1"/>
  <c r="AE56" i="1"/>
  <c r="AF56" i="1"/>
  <c r="Z56" i="1"/>
  <c r="AC129" i="1"/>
  <c r="AD129" i="1"/>
  <c r="AE129" i="1"/>
  <c r="AG129" i="1"/>
  <c r="AH129" i="1"/>
  <c r="AA129" i="1"/>
  <c r="AB129" i="1"/>
  <c r="AF129" i="1"/>
  <c r="Z129" i="1"/>
  <c r="AA72" i="1"/>
  <c r="AB72" i="1"/>
  <c r="AC72" i="1"/>
  <c r="AD72" i="1"/>
  <c r="AH72" i="1"/>
  <c r="AG72" i="1"/>
  <c r="AE72" i="1"/>
  <c r="AF72" i="1"/>
  <c r="Z72" i="1"/>
  <c r="AE376" i="1"/>
  <c r="AF376" i="1"/>
  <c r="AG376" i="1"/>
  <c r="AH376" i="1"/>
  <c r="AA376" i="1"/>
  <c r="AB376" i="1"/>
  <c r="AC376" i="1"/>
  <c r="AD376" i="1"/>
  <c r="Z376" i="1"/>
  <c r="AH201" i="1"/>
  <c r="AA201" i="1"/>
  <c r="AB201" i="1"/>
  <c r="AC201" i="1"/>
  <c r="AD201" i="1"/>
  <c r="AE201" i="1"/>
  <c r="AF201" i="1"/>
  <c r="AG201" i="1"/>
  <c r="Z201" i="1"/>
  <c r="AC112" i="1"/>
  <c r="AD112" i="1"/>
  <c r="AE112" i="1"/>
  <c r="AG112" i="1"/>
  <c r="AA112" i="1"/>
  <c r="AB112" i="1"/>
  <c r="AF112" i="1"/>
  <c r="AH112" i="1"/>
  <c r="Z112" i="1"/>
  <c r="AA27" i="1"/>
  <c r="AB27" i="1"/>
  <c r="AC27" i="1"/>
  <c r="AD27" i="1"/>
  <c r="AH27" i="1"/>
  <c r="AE27" i="1"/>
  <c r="AF27" i="1"/>
  <c r="AG27" i="1"/>
  <c r="Z27" i="1"/>
  <c r="AA66" i="1"/>
  <c r="AB66" i="1"/>
  <c r="AC66" i="1"/>
  <c r="AD66" i="1"/>
  <c r="AH66" i="1"/>
  <c r="AE66" i="1"/>
  <c r="AF66" i="1"/>
  <c r="AG66" i="1"/>
  <c r="Z66" i="1"/>
  <c r="AE393" i="1"/>
  <c r="AF393" i="1"/>
  <c r="AG393" i="1"/>
  <c r="AH393" i="1"/>
  <c r="AA393" i="1"/>
  <c r="AB393" i="1"/>
  <c r="AC393" i="1"/>
  <c r="AD393" i="1"/>
  <c r="Z393" i="1"/>
  <c r="AE411" i="1"/>
  <c r="AF411" i="1"/>
  <c r="AG411" i="1"/>
  <c r="AH411" i="1"/>
  <c r="AA411" i="1"/>
  <c r="AB411" i="1"/>
  <c r="AC411" i="1"/>
  <c r="AD411" i="1"/>
  <c r="Z411" i="1"/>
  <c r="AD182" i="1"/>
  <c r="AE182" i="1"/>
  <c r="AF182" i="1"/>
  <c r="AA182" i="1"/>
  <c r="AB182" i="1"/>
  <c r="AC182" i="1"/>
  <c r="AG182" i="1"/>
  <c r="AH182" i="1"/>
  <c r="Z182" i="1"/>
  <c r="AE367" i="1"/>
  <c r="AF367" i="1"/>
  <c r="AG367" i="1"/>
  <c r="AH367" i="1"/>
  <c r="AA367" i="1"/>
  <c r="AB367" i="1"/>
  <c r="AC367" i="1"/>
  <c r="AD367" i="1"/>
  <c r="Z367" i="1"/>
  <c r="AD145" i="1"/>
  <c r="AE145" i="1"/>
  <c r="AF145" i="1"/>
  <c r="AG145" i="1"/>
  <c r="AH145" i="1"/>
  <c r="AA145" i="1"/>
  <c r="AB145" i="1"/>
  <c r="AC145" i="1"/>
  <c r="Z145" i="1"/>
  <c r="AE389" i="1"/>
  <c r="AF389" i="1"/>
  <c r="AG389" i="1"/>
  <c r="AH389" i="1"/>
  <c r="AA389" i="1"/>
  <c r="AB389" i="1"/>
  <c r="AC389" i="1"/>
  <c r="AD389" i="1"/>
  <c r="Z389" i="1"/>
  <c r="AE419" i="1"/>
  <c r="AF419" i="1"/>
  <c r="AG419" i="1"/>
  <c r="AH419" i="1"/>
  <c r="AA419" i="1"/>
  <c r="AB419" i="1"/>
  <c r="AC419" i="1"/>
  <c r="AD419" i="1"/>
  <c r="Z419" i="1"/>
  <c r="AE497" i="1"/>
  <c r="AF497" i="1"/>
  <c r="AG497" i="1"/>
  <c r="AH497" i="1"/>
  <c r="AA497" i="1"/>
  <c r="AB497" i="1"/>
  <c r="AC497" i="1"/>
  <c r="AD497" i="1"/>
  <c r="Z497" i="1"/>
  <c r="AC353" i="1"/>
  <c r="AH353" i="1"/>
  <c r="AA353" i="1"/>
  <c r="AB353" i="1"/>
  <c r="AD353" i="1"/>
  <c r="AE353" i="1"/>
  <c r="AF353" i="1"/>
  <c r="AG353" i="1"/>
  <c r="Z353" i="1"/>
  <c r="AH239" i="1"/>
  <c r="AA239" i="1"/>
  <c r="AB239" i="1"/>
  <c r="AC239" i="1"/>
  <c r="AD239" i="1"/>
  <c r="AE239" i="1"/>
  <c r="AF239" i="1"/>
  <c r="AG239" i="1"/>
  <c r="Z239" i="1"/>
  <c r="AH190" i="1"/>
  <c r="AA190" i="1"/>
  <c r="AB190" i="1"/>
  <c r="AC190" i="1"/>
  <c r="AD190" i="1"/>
  <c r="AE190" i="1"/>
  <c r="AF190" i="1"/>
  <c r="AG190" i="1"/>
  <c r="Z190" i="1"/>
  <c r="AH222" i="1"/>
  <c r="AA222" i="1"/>
  <c r="AB222" i="1"/>
  <c r="AC222" i="1"/>
  <c r="AD222" i="1"/>
  <c r="AE222" i="1"/>
  <c r="AF222" i="1"/>
  <c r="AG222" i="1"/>
  <c r="Z222" i="1"/>
  <c r="AC356" i="1"/>
  <c r="AB356" i="1"/>
  <c r="AD356" i="1"/>
  <c r="AE356" i="1"/>
  <c r="AF356" i="1"/>
  <c r="AG356" i="1"/>
  <c r="AH356" i="1"/>
  <c r="AA356" i="1"/>
  <c r="Z356" i="1"/>
  <c r="AA42" i="1"/>
  <c r="AB42" i="1"/>
  <c r="AC42" i="1"/>
  <c r="AD42" i="1"/>
  <c r="AH42" i="1"/>
  <c r="AE42" i="1"/>
  <c r="AF42" i="1"/>
  <c r="AG42" i="1"/>
  <c r="Z42" i="1"/>
  <c r="AH199" i="1"/>
  <c r="AA199" i="1"/>
  <c r="AB199" i="1"/>
  <c r="AC199" i="1"/>
  <c r="AD199" i="1"/>
  <c r="AE199" i="1"/>
  <c r="AF199" i="1"/>
  <c r="AG199" i="1"/>
  <c r="Z199" i="1"/>
  <c r="AC127" i="1"/>
  <c r="AD127" i="1"/>
  <c r="AE127" i="1"/>
  <c r="AG127" i="1"/>
  <c r="AH127" i="1"/>
  <c r="AA127" i="1"/>
  <c r="AB127" i="1"/>
  <c r="AF127" i="1"/>
  <c r="Z127" i="1"/>
  <c r="AH212" i="1"/>
  <c r="AA212" i="1"/>
  <c r="AB212" i="1"/>
  <c r="AC212" i="1"/>
  <c r="AD212" i="1"/>
  <c r="AE212" i="1"/>
  <c r="AF212" i="1"/>
  <c r="AG212" i="1"/>
  <c r="Z212" i="1"/>
  <c r="AE366" i="1"/>
  <c r="AF366" i="1"/>
  <c r="AG366" i="1"/>
  <c r="AH366" i="1"/>
  <c r="AA366" i="1"/>
  <c r="AB366" i="1"/>
  <c r="AC366" i="1"/>
  <c r="AD366" i="1"/>
  <c r="Z366" i="1"/>
  <c r="AE397" i="1"/>
  <c r="AF397" i="1"/>
  <c r="AG397" i="1"/>
  <c r="AH397" i="1"/>
  <c r="AA397" i="1"/>
  <c r="AB397" i="1"/>
  <c r="AC397" i="1"/>
  <c r="AD397" i="1"/>
  <c r="Z397" i="1"/>
  <c r="AE478" i="1"/>
  <c r="AF478" i="1"/>
  <c r="AG478" i="1"/>
  <c r="AH478" i="1"/>
  <c r="AA478" i="1"/>
  <c r="AB478" i="1"/>
  <c r="AC478" i="1"/>
  <c r="AD478" i="1"/>
  <c r="Z478" i="1"/>
  <c r="AE455" i="1"/>
  <c r="AF455" i="1"/>
  <c r="AG455" i="1"/>
  <c r="AH455" i="1"/>
  <c r="AA455" i="1"/>
  <c r="AB455" i="1"/>
  <c r="AC455" i="1"/>
  <c r="AD455" i="1"/>
  <c r="Z455" i="1"/>
  <c r="AE476" i="1"/>
  <c r="AF476" i="1"/>
  <c r="AG476" i="1"/>
  <c r="AH476" i="1"/>
  <c r="AA476" i="1"/>
  <c r="AB476" i="1"/>
  <c r="AC476" i="1"/>
  <c r="AD476" i="1"/>
  <c r="Z476" i="1"/>
  <c r="AE454" i="1"/>
  <c r="AF454" i="1"/>
  <c r="AG454" i="1"/>
  <c r="AH454" i="1"/>
  <c r="AA454" i="1"/>
  <c r="AB454" i="1"/>
  <c r="AC454" i="1"/>
  <c r="AD454" i="1"/>
  <c r="Z454" i="1"/>
  <c r="AE446" i="1"/>
  <c r="AF446" i="1"/>
  <c r="AG446" i="1"/>
  <c r="AH446" i="1"/>
  <c r="AA446" i="1"/>
  <c r="AB446" i="1"/>
  <c r="AC446" i="1"/>
  <c r="AD446" i="1"/>
  <c r="Z446" i="1"/>
  <c r="AE407" i="1"/>
  <c r="AF407" i="1"/>
  <c r="AG407" i="1"/>
  <c r="AH407" i="1"/>
  <c r="AA407" i="1"/>
  <c r="AB407" i="1"/>
  <c r="AC407" i="1"/>
  <c r="AD407" i="1"/>
  <c r="Z407" i="1"/>
  <c r="AE388" i="1"/>
  <c r="AF388" i="1"/>
  <c r="AG388" i="1"/>
  <c r="AH388" i="1"/>
  <c r="AA388" i="1"/>
  <c r="AB388" i="1"/>
  <c r="AC388" i="1"/>
  <c r="AD388" i="1"/>
  <c r="Z388" i="1"/>
  <c r="AC284" i="1"/>
  <c r="AD284" i="1"/>
  <c r="AE284" i="1"/>
  <c r="AF284" i="1"/>
  <c r="AG284" i="1"/>
  <c r="AH284" i="1"/>
  <c r="AA284" i="1"/>
  <c r="AB284" i="1"/>
  <c r="Z284" i="1"/>
  <c r="AH245" i="1"/>
  <c r="AA245" i="1"/>
  <c r="AB245" i="1"/>
  <c r="AC245" i="1"/>
  <c r="AD245" i="1"/>
  <c r="AE245" i="1"/>
  <c r="AF245" i="1"/>
  <c r="AG245" i="1"/>
  <c r="Z245" i="1"/>
  <c r="AE452" i="1"/>
  <c r="AF452" i="1"/>
  <c r="AG452" i="1"/>
  <c r="AH452" i="1"/>
  <c r="AA452" i="1"/>
  <c r="AB452" i="1"/>
  <c r="AC452" i="1"/>
  <c r="AD452" i="1"/>
  <c r="Z452" i="1"/>
  <c r="AE439" i="1"/>
  <c r="AF439" i="1"/>
  <c r="AG439" i="1"/>
  <c r="AA439" i="1"/>
  <c r="AB439" i="1"/>
  <c r="AC439" i="1"/>
  <c r="AD439" i="1"/>
  <c r="AH439" i="1"/>
  <c r="Z439" i="1"/>
  <c r="AE418" i="1"/>
  <c r="AF418" i="1"/>
  <c r="AG418" i="1"/>
  <c r="AH418" i="1"/>
  <c r="AA418" i="1"/>
  <c r="AB418" i="1"/>
  <c r="AC418" i="1"/>
  <c r="AD418" i="1"/>
  <c r="Z418" i="1"/>
  <c r="AE437" i="1"/>
  <c r="AF437" i="1"/>
  <c r="AG437" i="1"/>
  <c r="AH437" i="1"/>
  <c r="AA437" i="1"/>
  <c r="AB437" i="1"/>
  <c r="AC437" i="1"/>
  <c r="AD437" i="1"/>
  <c r="Z437" i="1"/>
  <c r="AE432" i="1"/>
  <c r="AF432" i="1"/>
  <c r="AG432" i="1"/>
  <c r="AH432" i="1"/>
  <c r="AD432" i="1"/>
  <c r="AA432" i="1"/>
  <c r="AB432" i="1"/>
  <c r="AC432" i="1"/>
  <c r="Z432" i="1"/>
  <c r="AE400" i="1"/>
  <c r="AF400" i="1"/>
  <c r="AG400" i="1"/>
  <c r="AH400" i="1"/>
  <c r="AA400" i="1"/>
  <c r="AB400" i="1"/>
  <c r="AC400" i="1"/>
  <c r="AD400" i="1"/>
  <c r="Z400" i="1"/>
  <c r="AE422" i="1"/>
  <c r="AF422" i="1"/>
  <c r="AG422" i="1"/>
  <c r="AH422" i="1"/>
  <c r="AD422" i="1"/>
  <c r="AA422" i="1"/>
  <c r="AB422" i="1"/>
  <c r="AC422" i="1"/>
  <c r="Z422" i="1"/>
  <c r="AC276" i="1"/>
  <c r="AD276" i="1"/>
  <c r="AE276" i="1"/>
  <c r="AF276" i="1"/>
  <c r="AG276" i="1"/>
  <c r="AH276" i="1"/>
  <c r="AA276" i="1"/>
  <c r="AB276" i="1"/>
  <c r="Z276" i="1"/>
  <c r="AC343" i="1"/>
  <c r="AD343" i="1"/>
  <c r="AF343" i="1"/>
  <c r="AG343" i="1"/>
  <c r="AH343" i="1"/>
  <c r="AA343" i="1"/>
  <c r="AB343" i="1"/>
  <c r="AE343" i="1"/>
  <c r="Z343" i="1"/>
  <c r="AC293" i="1"/>
  <c r="AD293" i="1"/>
  <c r="AE293" i="1"/>
  <c r="AF293" i="1"/>
  <c r="AG293" i="1"/>
  <c r="AH293" i="1"/>
  <c r="AA293" i="1"/>
  <c r="AB293" i="1"/>
  <c r="Z293" i="1"/>
  <c r="AC358" i="1"/>
  <c r="AE358" i="1"/>
  <c r="AF358" i="1"/>
  <c r="AG358" i="1"/>
  <c r="AH358" i="1"/>
  <c r="AA358" i="1"/>
  <c r="AB358" i="1"/>
  <c r="AD358" i="1"/>
  <c r="Z358" i="1"/>
  <c r="AC305" i="1"/>
  <c r="AD305" i="1"/>
  <c r="AE305" i="1"/>
  <c r="AF305" i="1"/>
  <c r="AG305" i="1"/>
  <c r="AH305" i="1"/>
  <c r="AA305" i="1"/>
  <c r="AB305" i="1"/>
  <c r="Z305" i="1"/>
  <c r="AH250" i="1"/>
  <c r="AA250" i="1"/>
  <c r="AB250" i="1"/>
  <c r="AC250" i="1"/>
  <c r="AD250" i="1"/>
  <c r="AE250" i="1"/>
  <c r="AF250" i="1"/>
  <c r="AG250" i="1"/>
  <c r="Z250" i="1"/>
  <c r="AH251" i="1"/>
  <c r="AA251" i="1"/>
  <c r="AB251" i="1"/>
  <c r="AC251" i="1"/>
  <c r="AD251" i="1"/>
  <c r="AE251" i="1"/>
  <c r="AF251" i="1"/>
  <c r="AG251" i="1"/>
  <c r="Z251" i="1"/>
  <c r="AH214" i="1"/>
  <c r="AA214" i="1"/>
  <c r="AB214" i="1"/>
  <c r="AC214" i="1"/>
  <c r="AD214" i="1"/>
  <c r="AE214" i="1"/>
  <c r="AF214" i="1"/>
  <c r="AG214" i="1"/>
  <c r="Z214" i="1"/>
  <c r="AD176" i="1"/>
  <c r="AE176" i="1"/>
  <c r="AF176" i="1"/>
  <c r="AG176" i="1"/>
  <c r="AA176" i="1"/>
  <c r="AB176" i="1"/>
  <c r="AC176" i="1"/>
  <c r="AH176" i="1"/>
  <c r="Z176" i="1"/>
  <c r="AD178" i="1"/>
  <c r="AE178" i="1"/>
  <c r="AF178" i="1"/>
  <c r="AH178" i="1"/>
  <c r="AA178" i="1"/>
  <c r="AB178" i="1"/>
  <c r="AC178" i="1"/>
  <c r="AG178" i="1"/>
  <c r="Z178" i="1"/>
  <c r="AC101" i="1"/>
  <c r="AD101" i="1"/>
  <c r="AE101" i="1"/>
  <c r="AG101" i="1"/>
  <c r="AH101" i="1"/>
  <c r="AA101" i="1"/>
  <c r="AB101" i="1"/>
  <c r="AF101" i="1"/>
  <c r="Z101" i="1"/>
  <c r="AC93" i="1"/>
  <c r="AD93" i="1"/>
  <c r="AE93" i="1"/>
  <c r="AG93" i="1"/>
  <c r="AH93" i="1"/>
  <c r="AA93" i="1"/>
  <c r="AB93" i="1"/>
  <c r="AF93" i="1"/>
  <c r="Z93" i="1"/>
  <c r="AA82" i="1"/>
  <c r="AB82" i="1"/>
  <c r="AC82" i="1"/>
  <c r="AD82" i="1"/>
  <c r="AH82" i="1"/>
  <c r="AE82" i="1"/>
  <c r="AF82" i="1"/>
  <c r="AG82" i="1"/>
  <c r="Z82" i="1"/>
  <c r="AC130" i="1"/>
  <c r="AD130" i="1"/>
  <c r="AE130" i="1"/>
  <c r="AG130" i="1"/>
  <c r="AA130" i="1"/>
  <c r="AB130" i="1"/>
  <c r="AF130" i="1"/>
  <c r="AH130" i="1"/>
  <c r="Z130" i="1"/>
  <c r="AA15" i="1"/>
  <c r="AB15" i="1"/>
  <c r="AC15" i="1"/>
  <c r="AD15" i="1"/>
  <c r="AH15" i="1"/>
  <c r="AE15" i="1"/>
  <c r="AF15" i="1"/>
  <c r="AG15" i="1"/>
  <c r="Z15" i="1"/>
  <c r="AC107" i="1"/>
  <c r="AD107" i="1"/>
  <c r="AE107" i="1"/>
  <c r="AG107" i="1"/>
  <c r="AH107" i="1"/>
  <c r="AA107" i="1"/>
  <c r="AB107" i="1"/>
  <c r="AF107" i="1"/>
  <c r="Z107" i="1"/>
  <c r="AA52" i="1"/>
  <c r="AB52" i="1"/>
  <c r="AC52" i="1"/>
  <c r="AD52" i="1"/>
  <c r="AH52" i="1"/>
  <c r="AE52" i="1"/>
  <c r="AG52" i="1"/>
  <c r="AF52" i="1"/>
  <c r="Z52" i="1"/>
  <c r="AD2" i="1"/>
  <c r="AC2" i="1"/>
  <c r="AB2" i="1"/>
  <c r="AA2" i="1"/>
  <c r="AH2" i="1"/>
  <c r="AG2" i="1"/>
  <c r="AF2" i="1"/>
  <c r="AE2" i="1"/>
  <c r="Z2" i="1"/>
  <c r="AE386" i="1"/>
  <c r="AF386" i="1"/>
  <c r="AG386" i="1"/>
  <c r="AH386" i="1"/>
  <c r="AA386" i="1"/>
  <c r="AB386" i="1"/>
  <c r="AC386" i="1"/>
  <c r="AD386" i="1"/>
  <c r="Z386" i="1"/>
  <c r="AE359" i="1"/>
  <c r="AF359" i="1"/>
  <c r="AG359" i="1"/>
  <c r="AH359" i="1"/>
  <c r="AA359" i="1"/>
  <c r="AB359" i="1"/>
  <c r="AC359" i="1"/>
  <c r="AD359" i="1"/>
  <c r="Z359" i="1"/>
  <c r="AC269" i="1"/>
  <c r="AD269" i="1"/>
  <c r="AE269" i="1"/>
  <c r="AF269" i="1"/>
  <c r="AG269" i="1"/>
  <c r="AH269" i="1"/>
  <c r="AA269" i="1"/>
  <c r="AB269" i="1"/>
  <c r="Z269" i="1"/>
  <c r="AE491" i="1"/>
  <c r="AF491" i="1"/>
  <c r="AG491" i="1"/>
  <c r="AH491" i="1"/>
  <c r="AA491" i="1"/>
  <c r="AB491" i="1"/>
  <c r="AC491" i="1"/>
  <c r="AD491" i="1"/>
  <c r="Z491" i="1"/>
  <c r="AE403" i="1"/>
  <c r="AF403" i="1"/>
  <c r="AG403" i="1"/>
  <c r="AH403" i="1"/>
  <c r="AA403" i="1"/>
  <c r="AB403" i="1"/>
  <c r="AC403" i="1"/>
  <c r="AD403" i="1"/>
  <c r="Z403" i="1"/>
  <c r="AE441" i="1"/>
  <c r="AF441" i="1"/>
  <c r="AG441" i="1"/>
  <c r="AA441" i="1"/>
  <c r="AB441" i="1"/>
  <c r="AC441" i="1"/>
  <c r="AD441" i="1"/>
  <c r="AH441" i="1"/>
  <c r="Z441" i="1"/>
  <c r="AC340" i="1"/>
  <c r="AD340" i="1"/>
  <c r="AE340" i="1"/>
  <c r="AF340" i="1"/>
  <c r="AG340" i="1"/>
  <c r="AH340" i="1"/>
  <c r="AA340" i="1"/>
  <c r="AB340" i="1"/>
  <c r="Z340" i="1"/>
  <c r="AC347" i="1"/>
  <c r="AD347" i="1"/>
  <c r="AF347" i="1"/>
  <c r="AG347" i="1"/>
  <c r="AH347" i="1"/>
  <c r="AA347" i="1"/>
  <c r="AB347" i="1"/>
  <c r="AE347" i="1"/>
  <c r="Z347" i="1"/>
  <c r="AD166" i="1"/>
  <c r="AE166" i="1"/>
  <c r="AF166" i="1"/>
  <c r="AG166" i="1"/>
  <c r="AH166" i="1"/>
  <c r="AA166" i="1"/>
  <c r="AB166" i="1"/>
  <c r="AC166" i="1"/>
  <c r="Z166" i="1"/>
  <c r="AA43" i="1"/>
  <c r="AB43" i="1"/>
  <c r="AC43" i="1"/>
  <c r="AD43" i="1"/>
  <c r="AH43" i="1"/>
  <c r="AE43" i="1"/>
  <c r="AF43" i="1"/>
  <c r="AG43" i="1"/>
  <c r="Z43" i="1"/>
  <c r="AD159" i="1"/>
  <c r="AE159" i="1"/>
  <c r="AF159" i="1"/>
  <c r="AG159" i="1"/>
  <c r="AH159" i="1"/>
  <c r="AA159" i="1"/>
  <c r="AB159" i="1"/>
  <c r="AC159" i="1"/>
  <c r="Z159" i="1"/>
  <c r="AD140" i="1"/>
  <c r="AE140" i="1"/>
  <c r="AF140" i="1"/>
  <c r="AG140" i="1"/>
  <c r="AH140" i="1"/>
  <c r="AA140" i="1"/>
  <c r="AB140" i="1"/>
  <c r="AC140" i="1"/>
  <c r="Z140" i="1"/>
  <c r="AC88" i="1"/>
  <c r="AD88" i="1"/>
  <c r="AE88" i="1"/>
  <c r="AG88" i="1"/>
  <c r="AA88" i="1"/>
  <c r="AB88" i="1"/>
  <c r="AF88" i="1"/>
  <c r="AH88" i="1"/>
  <c r="Z88" i="1"/>
  <c r="AA39" i="1"/>
  <c r="AB39" i="1"/>
  <c r="AC39" i="1"/>
  <c r="AD39" i="1"/>
  <c r="AH39" i="1"/>
  <c r="AE39" i="1"/>
  <c r="AF39" i="1"/>
  <c r="AG39" i="1"/>
  <c r="Z39" i="1"/>
  <c r="AH198" i="1"/>
  <c r="AA198" i="1"/>
  <c r="AB198" i="1"/>
  <c r="AC198" i="1"/>
  <c r="AD198" i="1"/>
  <c r="AE198" i="1"/>
  <c r="AF198" i="1"/>
  <c r="AG198" i="1"/>
  <c r="Z198" i="1"/>
  <c r="AA45" i="1"/>
  <c r="AB45" i="1"/>
  <c r="AC45" i="1"/>
  <c r="AD45" i="1"/>
  <c r="AH45" i="1"/>
  <c r="AG45" i="1"/>
  <c r="AE45" i="1"/>
  <c r="AF45" i="1"/>
  <c r="Z45" i="1"/>
  <c r="AC339" i="1"/>
  <c r="AD339" i="1"/>
  <c r="AE339" i="1"/>
  <c r="AA339" i="1"/>
  <c r="AB339" i="1"/>
  <c r="AF339" i="1"/>
  <c r="AG339" i="1"/>
  <c r="AH339" i="1"/>
  <c r="Z339" i="1"/>
  <c r="AA58" i="1"/>
  <c r="AB58" i="1"/>
  <c r="AC58" i="1"/>
  <c r="AD58" i="1"/>
  <c r="AH58" i="1"/>
  <c r="AE58" i="1"/>
  <c r="AF58" i="1"/>
  <c r="AG58" i="1"/>
  <c r="Z58" i="1"/>
  <c r="AE374" i="1"/>
  <c r="AF374" i="1"/>
  <c r="AG374" i="1"/>
  <c r="AH374" i="1"/>
  <c r="AA374" i="1"/>
  <c r="AB374" i="1"/>
  <c r="AC374" i="1"/>
  <c r="AD374" i="1"/>
  <c r="Z374" i="1"/>
  <c r="AC111" i="1"/>
  <c r="AD111" i="1"/>
  <c r="AE111" i="1"/>
  <c r="AG111" i="1"/>
  <c r="AH111" i="1"/>
  <c r="AA111" i="1"/>
  <c r="AB111" i="1"/>
  <c r="AF111" i="1"/>
  <c r="Z111" i="1"/>
  <c r="AA23" i="1"/>
  <c r="AB23" i="1"/>
  <c r="AC23" i="1"/>
  <c r="AD23" i="1"/>
  <c r="AH23" i="1"/>
  <c r="AE23" i="1"/>
  <c r="AF23" i="1"/>
  <c r="AG23" i="1"/>
  <c r="Z23" i="1"/>
  <c r="AE387" i="1"/>
  <c r="AF387" i="1"/>
  <c r="AG387" i="1"/>
  <c r="AH387" i="1"/>
  <c r="AA387" i="1"/>
  <c r="AB387" i="1"/>
  <c r="AC387" i="1"/>
  <c r="AD387" i="1"/>
  <c r="Z387" i="1"/>
  <c r="AA49" i="1"/>
  <c r="AB49" i="1"/>
  <c r="AC49" i="1"/>
  <c r="AD49" i="1"/>
  <c r="AH49" i="1"/>
  <c r="AE49" i="1"/>
  <c r="AF49" i="1"/>
  <c r="AG49" i="1"/>
  <c r="Z49" i="1"/>
  <c r="AE409" i="1"/>
  <c r="AF409" i="1"/>
  <c r="AG409" i="1"/>
  <c r="AH409" i="1"/>
  <c r="AA409" i="1"/>
  <c r="AB409" i="1"/>
  <c r="AC409" i="1"/>
  <c r="AD409" i="1"/>
  <c r="Z409" i="1"/>
  <c r="AC289" i="1"/>
  <c r="AD289" i="1"/>
  <c r="AE289" i="1"/>
  <c r="AF289" i="1"/>
  <c r="AG289" i="1"/>
  <c r="AH289" i="1"/>
  <c r="AA289" i="1"/>
  <c r="AB289" i="1"/>
  <c r="Z289" i="1"/>
  <c r="AC108" i="1"/>
  <c r="AD108" i="1"/>
  <c r="AE108" i="1"/>
  <c r="AG108" i="1"/>
  <c r="AA108" i="1"/>
  <c r="AB108" i="1"/>
  <c r="AF108" i="1"/>
  <c r="AH108" i="1"/>
  <c r="Z108" i="1"/>
  <c r="AE362" i="1"/>
  <c r="AF362" i="1"/>
  <c r="AG362" i="1"/>
  <c r="AH362" i="1"/>
  <c r="AA362" i="1"/>
  <c r="AB362" i="1"/>
  <c r="AC362" i="1"/>
  <c r="AD362" i="1"/>
  <c r="Z362" i="1"/>
  <c r="AC294" i="1"/>
  <c r="AD294" i="1"/>
  <c r="AE294" i="1"/>
  <c r="AF294" i="1"/>
  <c r="AG294" i="1"/>
  <c r="AH294" i="1"/>
  <c r="AA294" i="1"/>
  <c r="AB294" i="1"/>
  <c r="Z294" i="1"/>
  <c r="AC113" i="1"/>
  <c r="AD113" i="1"/>
  <c r="AE113" i="1"/>
  <c r="AG113" i="1"/>
  <c r="AH113" i="1"/>
  <c r="AA113" i="1"/>
  <c r="AB113" i="1"/>
  <c r="AF113" i="1"/>
  <c r="Z113" i="1"/>
  <c r="AE456" i="1"/>
  <c r="AF456" i="1"/>
  <c r="AG456" i="1"/>
  <c r="AH456" i="1"/>
  <c r="AA456" i="1"/>
  <c r="AB456" i="1"/>
  <c r="AC456" i="1"/>
  <c r="AD456" i="1"/>
  <c r="Z456" i="1"/>
  <c r="AA53" i="1"/>
  <c r="AB53" i="1"/>
  <c r="AC53" i="1"/>
  <c r="AD53" i="1"/>
  <c r="AH53" i="1"/>
  <c r="AE53" i="1"/>
  <c r="AF53" i="1"/>
  <c r="AG53" i="1"/>
  <c r="Z53" i="1"/>
  <c r="AH232" i="1"/>
  <c r="AA232" i="1"/>
  <c r="AB232" i="1"/>
  <c r="AC232" i="1"/>
  <c r="AD232" i="1"/>
  <c r="AE232" i="1"/>
  <c r="AF232" i="1"/>
  <c r="AG232" i="1"/>
  <c r="Z232" i="1"/>
  <c r="AC328" i="1"/>
  <c r="AD328" i="1"/>
  <c r="AE328" i="1"/>
  <c r="AF328" i="1"/>
  <c r="AG328" i="1"/>
  <c r="AH328" i="1"/>
  <c r="AA328" i="1"/>
  <c r="AB328" i="1"/>
  <c r="Z328" i="1"/>
  <c r="AA34" i="1"/>
  <c r="AB34" i="1"/>
  <c r="AC34" i="1"/>
  <c r="AD34" i="1"/>
  <c r="AH34" i="1"/>
  <c r="AE34" i="1"/>
  <c r="AF34" i="1"/>
  <c r="AG34" i="1"/>
  <c r="Z34" i="1"/>
  <c r="AE485" i="1"/>
  <c r="AF485" i="1"/>
  <c r="AG485" i="1"/>
  <c r="AH485" i="1"/>
  <c r="AA485" i="1"/>
  <c r="AB485" i="1"/>
  <c r="AC485" i="1"/>
  <c r="AD485" i="1"/>
  <c r="Z485" i="1"/>
  <c r="AE490" i="1"/>
  <c r="AF490" i="1"/>
  <c r="AG490" i="1"/>
  <c r="AH490" i="1"/>
  <c r="AA490" i="1"/>
  <c r="AB490" i="1"/>
  <c r="AC490" i="1"/>
  <c r="AD490" i="1"/>
  <c r="Z490" i="1"/>
  <c r="AH204" i="1"/>
  <c r="AA204" i="1"/>
  <c r="AB204" i="1"/>
  <c r="AC204" i="1"/>
  <c r="AD204" i="1"/>
  <c r="AE204" i="1"/>
  <c r="AF204" i="1"/>
  <c r="AG204" i="1"/>
  <c r="Z204" i="1"/>
  <c r="AC302" i="1"/>
  <c r="AD302" i="1"/>
  <c r="AE302" i="1"/>
  <c r="AF302" i="1"/>
  <c r="AG302" i="1"/>
  <c r="AH302" i="1"/>
  <c r="AA302" i="1"/>
  <c r="AB302" i="1"/>
  <c r="Z302" i="1"/>
  <c r="AD174" i="1"/>
  <c r="AE174" i="1"/>
  <c r="AF174" i="1"/>
  <c r="AG174" i="1"/>
  <c r="AA174" i="1"/>
  <c r="AB174" i="1"/>
  <c r="AC174" i="1"/>
  <c r="AH174" i="1"/>
  <c r="Z174" i="1"/>
</calcChain>
</file>

<file path=xl/sharedStrings.xml><?xml version="1.0" encoding="utf-8"?>
<sst xmlns="http://schemas.openxmlformats.org/spreadsheetml/2006/main" count="761" uniqueCount="393">
  <si>
    <t>Design No.</t>
  </si>
  <si>
    <t>Garment Type</t>
  </si>
  <si>
    <t>Type Code</t>
  </si>
  <si>
    <t>Set Type</t>
  </si>
  <si>
    <t>Fabric</t>
  </si>
  <si>
    <t>Fabric Code</t>
  </si>
  <si>
    <t>Color</t>
  </si>
  <si>
    <t>Color Code</t>
  </si>
  <si>
    <t>Size</t>
  </si>
  <si>
    <t>Year</t>
  </si>
  <si>
    <t>Pattern</t>
  </si>
  <si>
    <t>Neck Type</t>
  </si>
  <si>
    <t>Short Important Description</t>
  </si>
  <si>
    <t>Pocket</t>
  </si>
  <si>
    <t>Stock</t>
  </si>
  <si>
    <t>HSN/SAC Code</t>
  </si>
  <si>
    <t>GST %</t>
  </si>
  <si>
    <t>Model Number</t>
  </si>
  <si>
    <t>Sellable SKU</t>
  </si>
  <si>
    <t>Product Name</t>
  </si>
  <si>
    <t>MRP</t>
  </si>
  <si>
    <t>Selling Price</t>
  </si>
  <si>
    <t>Cost</t>
  </si>
  <si>
    <t>Photoshoot Status</t>
  </si>
  <si>
    <t>Website Status</t>
  </si>
  <si>
    <t>01 Front</t>
  </si>
  <si>
    <t>02 Side</t>
  </si>
  <si>
    <t>03 Back</t>
  </si>
  <si>
    <t>04 Candid</t>
  </si>
  <si>
    <t>05 Walking</t>
  </si>
  <si>
    <t>06 Seated</t>
  </si>
  <si>
    <t>Fabric Close-up</t>
  </si>
  <si>
    <t>Detail</t>
  </si>
  <si>
    <t>Reference 01</t>
  </si>
  <si>
    <t>Notes</t>
  </si>
  <si>
    <t>Suit Set</t>
  </si>
  <si>
    <t>3PC</t>
  </si>
  <si>
    <t>Chanderi</t>
  </si>
  <si>
    <t>Rust</t>
  </si>
  <si>
    <t>M</t>
  </si>
  <si>
    <t>Embroidered</t>
  </si>
  <si>
    <t>Round Neck</t>
  </si>
  <si>
    <t>Yes</t>
  </si>
  <si>
    <t>998822</t>
  </si>
  <si>
    <t>Pending</t>
  </si>
  <si>
    <t>Draft</t>
  </si>
  <si>
    <t>Code</t>
  </si>
  <si>
    <t>Service / Use</t>
  </si>
  <si>
    <t>Kurti</t>
  </si>
  <si>
    <t>KRT</t>
  </si>
  <si>
    <t>Cotton</t>
  </si>
  <si>
    <t>CTN</t>
  </si>
  <si>
    <t>Black</t>
  </si>
  <si>
    <t>BLK</t>
  </si>
  <si>
    <t>XXS</t>
  </si>
  <si>
    <t>1PC</t>
  </si>
  <si>
    <t>Plain</t>
  </si>
  <si>
    <t>Wearing apparel / manufacturing services</t>
  </si>
  <si>
    <t>SUT</t>
  </si>
  <si>
    <t>Linen</t>
  </si>
  <si>
    <t>LIN</t>
  </si>
  <si>
    <t>White</t>
  </si>
  <si>
    <t>WHT</t>
  </si>
  <si>
    <t>XS</t>
  </si>
  <si>
    <t>2PC</t>
  </si>
  <si>
    <t>Printed</t>
  </si>
  <si>
    <t>V-Neck</t>
  </si>
  <si>
    <t>No</t>
  </si>
  <si>
    <t>In Progress</t>
  </si>
  <si>
    <t>Ready</t>
  </si>
  <si>
    <t>998391</t>
  </si>
  <si>
    <t>Luxury / Specialty Design</t>
  </si>
  <si>
    <t>Anarkali</t>
  </si>
  <si>
    <t>ANK</t>
  </si>
  <si>
    <t>Rayon</t>
  </si>
  <si>
    <t>RYN</t>
  </si>
  <si>
    <t>Ivory</t>
  </si>
  <si>
    <t>IVR</t>
  </si>
  <si>
    <t>S</t>
  </si>
  <si>
    <t>U-Neck</t>
  </si>
  <si>
    <t>Complete</t>
  </si>
  <si>
    <t>Live</t>
  </si>
  <si>
    <t>998723</t>
  </si>
  <si>
    <t>Alteration / Repair services</t>
  </si>
  <si>
    <t>Dress</t>
  </si>
  <si>
    <t>DRS</t>
  </si>
  <si>
    <t>Viscose</t>
  </si>
  <si>
    <t>VIS</t>
  </si>
  <si>
    <t>Beige</t>
  </si>
  <si>
    <t>BEG</t>
  </si>
  <si>
    <t>4PC</t>
  </si>
  <si>
    <t>Woven</t>
  </si>
  <si>
    <t>Boat Neck</t>
  </si>
  <si>
    <t>Archived</t>
  </si>
  <si>
    <t>Gown</t>
  </si>
  <si>
    <t>GWN</t>
  </si>
  <si>
    <t>CHD</t>
  </si>
  <si>
    <t>Cream</t>
  </si>
  <si>
    <t>CRM</t>
  </si>
  <si>
    <t>L</t>
  </si>
  <si>
    <t>Jacquard</t>
  </si>
  <si>
    <t>Square Neck</t>
  </si>
  <si>
    <t>Blouse</t>
  </si>
  <si>
    <t>BLS</t>
  </si>
  <si>
    <t>Chanderi Silk</t>
  </si>
  <si>
    <t>CHS</t>
  </si>
  <si>
    <t>Red</t>
  </si>
  <si>
    <t>RED</t>
  </si>
  <si>
    <t>XL</t>
  </si>
  <si>
    <t>Floral</t>
  </si>
  <si>
    <t>Keyhole Neck</t>
  </si>
  <si>
    <t>Lehenga</t>
  </si>
  <si>
    <t>LHN</t>
  </si>
  <si>
    <t>Organza</t>
  </si>
  <si>
    <t>ORG</t>
  </si>
  <si>
    <t>Maroon</t>
  </si>
  <si>
    <t>MRN</t>
  </si>
  <si>
    <t>XXL</t>
  </si>
  <si>
    <t>Geometric</t>
  </si>
  <si>
    <t>Collared</t>
  </si>
  <si>
    <t>Saree</t>
  </si>
  <si>
    <t>SAR</t>
  </si>
  <si>
    <t>Georgette</t>
  </si>
  <si>
    <t>GGT</t>
  </si>
  <si>
    <t>Wine</t>
  </si>
  <si>
    <t>WIN</t>
  </si>
  <si>
    <t>3XL</t>
  </si>
  <si>
    <t>Striped</t>
  </si>
  <si>
    <t>Mandarin Collar</t>
  </si>
  <si>
    <t>Co-ord Set</t>
  </si>
  <si>
    <t>CRD</t>
  </si>
  <si>
    <t>Chiffon</t>
  </si>
  <si>
    <t>CHF</t>
  </si>
  <si>
    <t>Pink</t>
  </si>
  <si>
    <t>PNK</t>
  </si>
  <si>
    <t>4XL</t>
  </si>
  <si>
    <t>Checked</t>
  </si>
  <si>
    <t>Sweetheart</t>
  </si>
  <si>
    <t>Top</t>
  </si>
  <si>
    <t>TOP</t>
  </si>
  <si>
    <t>Crepe</t>
  </si>
  <si>
    <t>CRP</t>
  </si>
  <si>
    <t>Rose Pink</t>
  </si>
  <si>
    <t>RPK</t>
  </si>
  <si>
    <t>5XL</t>
  </si>
  <si>
    <t>Solid</t>
  </si>
  <si>
    <t>Halter Neck</t>
  </si>
  <si>
    <t>Tunic</t>
  </si>
  <si>
    <t>TUN</t>
  </si>
  <si>
    <t>Silk</t>
  </si>
  <si>
    <t>SLK</t>
  </si>
  <si>
    <t>Blush Pink</t>
  </si>
  <si>
    <t>BPK</t>
  </si>
  <si>
    <t>6XL</t>
  </si>
  <si>
    <t>Sequined</t>
  </si>
  <si>
    <t>High Neck</t>
  </si>
  <si>
    <t>Shirt</t>
  </si>
  <si>
    <t>SHT</t>
  </si>
  <si>
    <t>Raw Silk</t>
  </si>
  <si>
    <t>RSL</t>
  </si>
  <si>
    <t>Rani Pink</t>
  </si>
  <si>
    <t>RNP</t>
  </si>
  <si>
    <t>FS</t>
  </si>
  <si>
    <t>Handwork</t>
  </si>
  <si>
    <t>Scoop Neck</t>
  </si>
  <si>
    <t>Skirt</t>
  </si>
  <si>
    <t>SKT</t>
  </si>
  <si>
    <t>Cotton Silk</t>
  </si>
  <si>
    <t>CSL</t>
  </si>
  <si>
    <t>Peach</t>
  </si>
  <si>
    <t>PCH</t>
  </si>
  <si>
    <t>CUS</t>
  </si>
  <si>
    <t>Other</t>
  </si>
  <si>
    <t>Palazzo</t>
  </si>
  <si>
    <t>PLZ</t>
  </si>
  <si>
    <t>Art Silk</t>
  </si>
  <si>
    <t>ASL</t>
  </si>
  <si>
    <t>Orange</t>
  </si>
  <si>
    <t>ORN</t>
  </si>
  <si>
    <t>Pants/Trouser</t>
  </si>
  <si>
    <t>PNT</t>
  </si>
  <si>
    <t>Muslin</t>
  </si>
  <si>
    <t>MSL</t>
  </si>
  <si>
    <t>RST</t>
  </si>
  <si>
    <t>Sharara Set</t>
  </si>
  <si>
    <t>SHR</t>
  </si>
  <si>
    <t>Velvet</t>
  </si>
  <si>
    <t>VLT</t>
  </si>
  <si>
    <t>Yellow</t>
  </si>
  <si>
    <t>YLW</t>
  </si>
  <si>
    <t>Salwar Set</t>
  </si>
  <si>
    <t>SLW</t>
  </si>
  <si>
    <t>Satin</t>
  </si>
  <si>
    <t>STN</t>
  </si>
  <si>
    <t>Mustard</t>
  </si>
  <si>
    <t>MST</t>
  </si>
  <si>
    <t>Kaftan</t>
  </si>
  <si>
    <t>KFT</t>
  </si>
  <si>
    <t>Modal</t>
  </si>
  <si>
    <t>MDL</t>
  </si>
  <si>
    <t>Green</t>
  </si>
  <si>
    <t>GRN</t>
  </si>
  <si>
    <t>Jacket Set</t>
  </si>
  <si>
    <t>JKT</t>
  </si>
  <si>
    <t>Khadi</t>
  </si>
  <si>
    <t>KHD</t>
  </si>
  <si>
    <t>Olive</t>
  </si>
  <si>
    <t>OLV</t>
  </si>
  <si>
    <t>Indo-Western</t>
  </si>
  <si>
    <t>IDW</t>
  </si>
  <si>
    <t>Denim</t>
  </si>
  <si>
    <t>DNM</t>
  </si>
  <si>
    <t>Mint</t>
  </si>
  <si>
    <t>MNT</t>
  </si>
  <si>
    <t>Kids Wear</t>
  </si>
  <si>
    <t>KID</t>
  </si>
  <si>
    <t>Brocade</t>
  </si>
  <si>
    <t>BRC</t>
  </si>
  <si>
    <t>Teal</t>
  </si>
  <si>
    <t>TEL</t>
  </si>
  <si>
    <t>Custom Design</t>
  </si>
  <si>
    <t>Net</t>
  </si>
  <si>
    <t>NET</t>
  </si>
  <si>
    <t>Blue</t>
  </si>
  <si>
    <t>BLU</t>
  </si>
  <si>
    <t>Tissue</t>
  </si>
  <si>
    <t>TIS</t>
  </si>
  <si>
    <t>Navy Blue</t>
  </si>
  <si>
    <t>NVY</t>
  </si>
  <si>
    <t>Kota Doria</t>
  </si>
  <si>
    <t>KTD</t>
  </si>
  <si>
    <t>Sky Blue</t>
  </si>
  <si>
    <t>SKY</t>
  </si>
  <si>
    <t>JQD</t>
  </si>
  <si>
    <t>Royal Blue</t>
  </si>
  <si>
    <t>RYB</t>
  </si>
  <si>
    <t>Purple</t>
  </si>
  <si>
    <t>PPL</t>
  </si>
  <si>
    <t>Lavender</t>
  </si>
  <si>
    <t>LAV</t>
  </si>
  <si>
    <t>Grey</t>
  </si>
  <si>
    <t>GRY</t>
  </si>
  <si>
    <t>Brown</t>
  </si>
  <si>
    <t>BRN</t>
  </si>
  <si>
    <t>Gold</t>
  </si>
  <si>
    <t>GLD</t>
  </si>
  <si>
    <t>Silver</t>
  </si>
  <si>
    <t>SLV</t>
  </si>
  <si>
    <t>Multicolor</t>
  </si>
  <si>
    <t>MLT</t>
  </si>
  <si>
    <t>VedAarna Studio — SKU, Product &amp; Photoshoot Master Standard</t>
  </si>
  <si>
    <t>Item</t>
  </si>
  <si>
    <t>Standard</t>
  </si>
  <si>
    <t>HSN/SAC</t>
  </si>
  <si>
    <t>Description</t>
  </si>
  <si>
    <t>GST</t>
  </si>
  <si>
    <t>Brand Prefix</t>
  </si>
  <si>
    <t>VS</t>
  </si>
  <si>
    <t>5%</t>
  </si>
  <si>
    <t>Design Number</t>
  </si>
  <si>
    <t>4 digits: 0001–9999; globally unique</t>
  </si>
  <si>
    <t>18%</t>
  </si>
  <si>
    <t>1PC / 2PC / 3PC / 4PC</t>
  </si>
  <si>
    <t>VS-[TYPE]-[SET]-[DESIGN]-[COLOR]-[YY]</t>
  </si>
  <si>
    <t>Note</t>
  </si>
  <si>
    <t>Verify tax classification/rate with your CA/GST adviser before invoicing.</t>
  </si>
  <si>
    <t>Example Model</t>
  </si>
  <si>
    <t>VS-SUT-3PC-0027-RST-26</t>
  </si>
  <si>
    <t>VS-[TYPE]-[SET]-[DESIGN]-[FABRIC]-[COLOR]-[SIZE]-[YY]</t>
  </si>
  <si>
    <t>Example SKU</t>
  </si>
  <si>
    <t>VS-SUT-3PC-0027-CHD-RST-M-26</t>
  </si>
  <si>
    <t>Auto-populated from selected HSN/SAC code</t>
  </si>
  <si>
    <t>Year Rule</t>
  </si>
  <si>
    <t>Year the design was introduced</t>
  </si>
  <si>
    <t>How to use</t>
  </si>
  <si>
    <t>Enter Design No.; select Garment Type, Set Type, Fabric, Color, Size, Pattern, Neck Type, Pocket, HSN/SAC and statuses from dropdowns. Enter the short product description and stock quantity. Codes, GST %, Model Number, Sellable SKU and photo filenames generate automatically.</t>
  </si>
  <si>
    <t>Leave Set Type blank when it is not relevant to the product.</t>
  </si>
  <si>
    <t>Relaxed-fit satin co-ord set featuring an asymmetric kaftan-style button-down top, wide batwing sleeves with lace-trim detailing, and matching wide-leg pants.</t>
  </si>
  <si>
    <t>Chocolate Brown Satin Co-ord Set</t>
  </si>
  <si>
    <t>Contemporary three-piece co-ord set featuring a solid emerald green V-neck inner top, long open-front printed jacket, and matching wide-leg printed pants.</t>
  </si>
  <si>
    <t>Bandhani</t>
  </si>
  <si>
    <t>Elegant Bandhani-inspired three-piece set featuring a relaxed long V-neck kurta with contrast trim, matching wide-leg pants and coordinated dupatta.</t>
  </si>
  <si>
    <t>Multicolor Geometric Print Three-Piece Co-ord Set</t>
  </si>
  <si>
    <t>Wine Bandhani Three-Piece Kurta Set</t>
  </si>
  <si>
    <t>Pista Green Embroidered Three-Piece Kurta Set</t>
  </si>
  <si>
    <t>Mulmul Cotton</t>
  </si>
  <si>
    <t>MCT</t>
  </si>
  <si>
    <t>Pure Cotton</t>
  </si>
  <si>
    <t>PCT</t>
  </si>
  <si>
    <t>Mix Cotton</t>
  </si>
  <si>
    <t>MIC</t>
  </si>
  <si>
    <t>Deep Wine</t>
  </si>
  <si>
    <t>DPW</t>
  </si>
  <si>
    <t>Solid with Embroidered Motifs</t>
  </si>
  <si>
    <t>Elegant pista green three-piece kurta set featuring delicate all-over embroidery, an embellished neckline and decorative lace border, paired with straight pants and a lightweight ivory embroidered dupatta.</t>
  </si>
  <si>
    <t>Contemporary Bandhani three-piece set featuring a charcoal grey flared kurta with bold white geometric tie-dye motifs and lace-trim detailing, paired with deep purple Bandhani pants and a coordinated dual-tone dupatta.</t>
  </si>
  <si>
    <t>Charcoal Grey Bandhani Three-Piece Kurta Set</t>
  </si>
  <si>
    <t>Rubia Cotton</t>
  </si>
  <si>
    <t>RCT</t>
  </si>
  <si>
    <t>Paisley / Ethnic Print</t>
  </si>
  <si>
    <t>Traditional three-piece kurta set featuring an ivory base with all-over red paisley motifs, statement multicolor borders, straight pants and a coordinated red printed dupatta.</t>
  </si>
  <si>
    <t>Ivory Red Paisley Print Three-Piece Kurta Set</t>
  </si>
  <si>
    <t>One Piece</t>
  </si>
  <si>
    <t>OPC</t>
  </si>
  <si>
    <t>Three Piece Set</t>
  </si>
  <si>
    <t>THS</t>
  </si>
  <si>
    <t>Elegant beige button-down midi dress featuring peach floral motifs, subtle vertical stripe detailing, a classic shirt collar and 3/4 sleeves in a structured straight silhouette.</t>
  </si>
  <si>
    <t>Beige Peach Floral Button-Down Midi Dress</t>
  </si>
  <si>
    <t>Aqua Green</t>
  </si>
  <si>
    <t>AQG</t>
  </si>
  <si>
    <t>Leaf Print</t>
  </si>
  <si>
    <t>Aqua green and beige leaf-print straight kurta paired with striped palazzo pants and a coordinated aqua printed dupatta. Features a round neck, 3/4 sleeves and contrasting border details.</t>
  </si>
  <si>
    <t>Aqua Beige Leaf Print Kurta Palazzo Set with Dupatta</t>
  </si>
  <si>
    <t>Burgundy</t>
  </si>
  <si>
    <t>BGY</t>
  </si>
  <si>
    <t>Wine floral-print sleeveless short dress featuring a sweetheart neckline, broad shoulder straps, gathered waist and statement open-back tie-up bow.</t>
  </si>
  <si>
    <t>Wine Floral Print Back-Tie Short Dress</t>
  </si>
  <si>
    <t>Mint green 3-piece straight kurta set featuring an all-over delicate floral print, notched round neckline, scalloped sleeve detailing, straight pants and a coordinated embellished dupatta.</t>
  </si>
  <si>
    <t>Mint Green Floral Print Kurta Set with Dupatta</t>
  </si>
  <si>
    <t>Sleeveless multicolor floral velvet sheath dress with a dark base, round neckline, defined waist seam and fitted knee-length silhouette.</t>
  </si>
  <si>
    <t>Multicolor Velvet Floral Sheath Dress</t>
  </si>
  <si>
    <t>M,L,XL</t>
  </si>
  <si>
    <t>S,M,L,XL</t>
  </si>
  <si>
    <t>S,M,L,XL,XXL</t>
  </si>
  <si>
    <t>S,M,L</t>
  </si>
  <si>
    <t>S,M</t>
  </si>
  <si>
    <t>M,L</t>
  </si>
  <si>
    <t>CTD</t>
  </si>
  <si>
    <t>Pale Yellow</t>
  </si>
  <si>
    <t>PYL</t>
  </si>
  <si>
    <t>M,L,XL,2XL</t>
  </si>
  <si>
    <t>Mustard yellow 2-piece straight kurta set featuring delicate pink floral buti embroidery, V-neckline, statement pink embroidered cuffs and coordinated straight pants.</t>
  </si>
  <si>
    <t>Mustard Yellow Embroidered Kurta &amp; Pant Set</t>
  </si>
  <si>
    <t>Cotton Doby</t>
  </si>
  <si>
    <t>Sky blue 2-piece straight kurta set featuring delicate navy blue buti embroidery, collared V-neckline, statement embroidered scalloped cuffs and coordinated straight pants.</t>
  </si>
  <si>
    <t>Sky Blue Embroidered Kurta &amp; Pant Set</t>
  </si>
  <si>
    <t>Mustard and white 2-piece coordinated kurta set featuring a bold geometric sunburst-inspired print, flattering V-neckline, three-quarter sleeves, straight-cut kurta and matching printed pants. A comfortable statement set designed for effortless everyday and daytime styling.</t>
  </si>
  <si>
    <t>Mustard Geometric Print Kurta &amp; Pant Set</t>
  </si>
  <si>
    <t>Shantoon</t>
  </si>
  <si>
    <t>SNT</t>
  </si>
  <si>
    <t>An elegant mustard kurta set featuring intricate rust-toned placement embroidery running along the front, a delicate keyhole neckline and coordinated embroidered sleeve cuffs. Paired with solid matching straight pants, the lustrous fabric and minimal detailing create an understated ethnic look suitable for festive gatherings, family occasions and elevated day wear.</t>
  </si>
  <si>
    <t>Mustard Embroidered Straight Kurta &amp; Pant Set</t>
  </si>
  <si>
    <t>A striking royal-blue kurta set featuring contrasting white floral and vine embroidery across the front. The V-neckline gives the silhouette a clean contemporary finish, while embroidered flared cuffs add a distinctive handcrafted touch. Paired with matching solid straight pants, the coordinated two-piece set balances traditional embroidery with an elegant modern silhouette.</t>
  </si>
  <si>
    <t>VedAarna Royal Blue Floral Embroidered Chanderi Kurta Pant Set</t>
  </si>
  <si>
    <t>A relaxed grey maxi dress featuring an all-over black micro print and a flowing multi-tiered silhouette. Designed with a notched round neckline, comfortable three-quarter sleeves and delicate black lace detailing at the cuffs. The gathered tiers create natural volume and movement, making it an easy choice for everyday wear, casual outings and relaxed day occasions.</t>
  </si>
  <si>
    <t>VedAarna Grey &amp; Black Micro dot-dash geometric Cotton Maxi Dress</t>
  </si>
  <si>
    <t>A feminine pink co-ord set featuring a vibrant all-over floral print in yellow, blue and green. The top is designed with a softly structured neckline, long flared sleeves and a distinctive double-layered gathered peplum that adds volume and movement. It is paired with matching wide-leg printed palazzos for a coordinated, relaxed silhouette. Suitable for casual outings, brunches, vacations and daytime occasions.</t>
  </si>
  <si>
    <t>L,XL,2XL</t>
  </si>
  <si>
    <t>VedAarna Women Pink Floral Printed Peplum Top with Palazzo Co-ord Set</t>
  </si>
  <si>
    <t>Powder blue two-piece kurta set featuring an elegant white floral embroidered statement yoke around the V-neckline. The straight-cut calf-length kurta is finished with three-quarter sleeves, delicate white cuff detailing and side slits for comfortable movement. It is paired with matching solid straight trousers for a clean, coordinated look suitable for everyday wear, casual gatherings and daytime occasions.</t>
  </si>
  <si>
    <t>VedAarna Women Powder Blue &amp; White Embroidered Straight Kurta with Trousers</t>
  </si>
  <si>
    <t>Embellished</t>
  </si>
  <si>
    <t>Make an elegant statement in this vibrant rani-pink three-piece ethnic set. The straight-cut kurta features a flattering V-neckline highlighted with geometric mirror-style embellishment and coordinated detailing at the sleeve cuffs. It is paired with matching straight trousers and a lightweight sheer dupatta finished with an ornate embellished border. The striking monochromatic palette and reflective neckline detailing make the ensemble suitable for festive celebrations, family gatherings and occasion wear.</t>
  </si>
  <si>
    <t>VedAarna Women Fuchsia Pink Mirror Work V-Neck Kurta, Trousers &amp; Dupatta Set</t>
  </si>
  <si>
    <t>Refresh your everyday wardrobe with this soft pastel-yellow floral midi dress from VedAarna Studio. Designed with a flattering V-neckline, defined waist and gently flared silhouette, the dress features an all-over delicate floral print for a fresh feminine look. Relaxed elbow-length flared sleeves add movement to the silhouette, while the mid-calf length makes it an easy choice for casual outings, brunches, vacations and relaxed daytime occasions.</t>
  </si>
  <si>
    <t>VedAarna Women Pastel Yellow Ditsy Floral Print Flared Midi Dress</t>
  </si>
  <si>
    <t>KRS</t>
  </si>
  <si>
    <t>Kurti Set</t>
  </si>
  <si>
    <t>Elevate understated everyday dressing with this beige embroidered kurta set from VedAarna Studio. The short straight kurta features delicate floral vine embroidery across the front and sleeves, complemented by intricate scalloped cutwork detailing along the sleeve cuffs and hem. A V-neckline with a softly structured collar adds a contemporary touch, while the coordinating solid straight trousers complete the refined two-piece look. Ideal for casual outings, workwear, brunches and relaxed daytime occasions.</t>
  </si>
  <si>
    <t>VedAarna Women Beige Floral Embroidered V-Neck Short Kurta &amp; Trouser Set</t>
  </si>
  <si>
    <t>M,L,XL,2XL, 3XL, 4XL</t>
  </si>
  <si>
    <t>Ethnic Motifs</t>
  </si>
  <si>
    <t>Add an effortless contemporary touch to your everyday wardrobe with this navy blue printed kurta set from VedAarna Studio. Featuring an all-over beige ethnic motif pattern, the relaxed straight kurta is designed with a V-neck opening, subtle stand collar, three-quarter sleeves and side slits. Coordinated printed trousers complete the two-piece look, making it an easy choice for casual outings, workdays, travel and relaxed daytime dressing.</t>
  </si>
  <si>
    <t>VedAarna Women Navy Blue Ethnic Motif Printed Tunic &amp; Trouser Co-ord Set</t>
  </si>
  <si>
    <t>Fuchsia Pink</t>
  </si>
  <si>
    <t>Magenta</t>
  </si>
  <si>
    <t>FUS</t>
  </si>
  <si>
    <t>MAG</t>
  </si>
  <si>
    <t>Refresh your ethnic wardrobe with this fuchsia pink embroidered kurta set from VedAarna Studio. The calf-length kurta features an elegant square neckline framed by contrasting floral-vine embroidery, complemented by delicate embroidered detailing on the three-quarter sleeves. Soft gathers beneath the front yoke create a relaxed, graceful fall, while matching solid trousers complete the coordinated two-piece ensemble. A versatile choice for daytime outings, casual gatherings and understated festive dressing.</t>
  </si>
  <si>
    <t>VedAarna Women Fuchsia Pink Floral Embroidered A-Line Kurta with Trousers</t>
  </si>
  <si>
    <t>Jeera Doby</t>
  </si>
  <si>
    <t>JRD</t>
  </si>
  <si>
    <t>Make an elegant statement with this white embroidered three-piece kurta set from VedAarna Studio. The A-line kurta showcases intricate tonal floral embroidery, sheer embroidered sleeves and textured vertical panels, finished with a graceful asymmetric hemline. Coordinated white trousers with delicate ankle detailing and a lightweight sheer bordered dupatta complete the ensemble. The monochromatic white-on-white craftsmanship gives the outfit an understated yet refined festive appeal, ideal for celebrations, daytime occasions and elegant ethnic dressing.</t>
  </si>
  <si>
    <t>VedAarna Women White Thread Embroidered Asymmetric Kurta Set with Trousers &amp; Dupatta</t>
  </si>
  <si>
    <t>Bring effortless colour to your ethnic wardrobe with this mustard yellow embroidered kurta set from VedAarna Studio. The straight-cut kurta features an intricately embroidered statement yoke with contrasting red, cream and gold-tone detailing, complemented by coordinated embroidery along the three-quarter sleeve cuffs. Side slits provide ease of movement, while matching straight trousers complete the clean monochromatic silhouette. A versatile choice for festive daytime gatherings, casual celebrations and elegant everyday ethnic dressing.</t>
  </si>
  <si>
    <t>VedAarna Women Mustard Yellow Embroidered Straight Kurta with Trousers</t>
  </si>
  <si>
    <t>Refresh your everyday wardrobe with this pink and white gingham checked peplum shirt from VedAarna Studio. Designed with a classic shirt collar and front button closure, the top features softly gathered detailing through the body and a statement ruffled hem for a relaxed, feminine silhouette. Three-quarter sleeves and the easy hip-length design make it a versatile choice for casual outings, brunches and everyday styling. Pair it with denims or solid trousers for an effortless contemporary look.</t>
  </si>
  <si>
    <t>VedAarna Women Pink &amp; White Gingham Checked Peplum Shirt</t>
  </si>
  <si>
    <t>Textured</t>
  </si>
  <si>
    <t>Add effortless comfort to your everyday wardrobe with this brown self-design top from VedAarna Studio. Crafted with a subtle vertical textured finish, the top features a softly gathered front and back yoke that creates an easy, flowing silhouette. A notched round neckline and relaxed three-quarter sleeves complement its understated design, while the hip-length A-line shape makes it easy to pair with denims, trousers or casual bottoms. An elegant everyday piece designed for comfortable, contemporary styling.</t>
  </si>
  <si>
    <t>VedAarna Women Brown Self-Design Gathered Yoke A-Line Top</t>
  </si>
  <si>
    <t>Refresh your everyday wardrobe with this olive green printed top from VedAarna Studio. Designed with an all-over black geometric motif, it features a smart band collar with a V-slit neckline and distinctive tie-up three-quarter sleeves. The relaxed straight silhouette is finished with a flattering high-low curved hem and subtle back-yoke detailing. Pair it with denims or casual trousers for an effortless contemporary look.</t>
  </si>
  <si>
    <t>VedAarna Women Olive Green &amp; Black Printed High-Low Casual Top with Tie-Up Sleeves</t>
  </si>
  <si>
    <t>Add an effortless splash of colour to your everyday wardrobe with this printed top from VedAarna Studio. Set against a fresh white base, the vibrant blue and red abstract motifs create a lively contemporary look. Designed in a relaxed silhouette, the top features a classic shirt collar, button-down front, three-quarter sleeves, gathered chest detailing and a softly flared tiered hem. Pair it with denim or solid trousers for an easy casual look.</t>
  </si>
  <si>
    <t>VedAarna Women White, Blue &amp; Red Abstract Printed Relaxed-Fit Tiered Shirt Top</t>
  </si>
  <si>
    <t>Refresh your everyday wardrobe with this striped shirt-style top from VedAarna Studio. Designed in a fresh white base with contrasting vertical stripes, it features a classic shirt collar, button-down front, gathered chest detailing and a softly flared tiered hem. The relaxed silhouette and three-quarter sleeves create an effortless casual look that pairs easily with denim, trousers or solid bottoms.</t>
  </si>
  <si>
    <t>VedAarna Women White &amp; Black Vertical Striped Relaxed-Fit Tiered Shirt Top</t>
  </si>
  <si>
    <t>Add effortless sophistication to your everyday wardrobe with this navy blue top from VedAarna Studio. Designed with a subtle self-textured finish, it features a band neckline with a V-slit, partial button placket and statement tie-up three-quarter sleeves. The relaxed straight silhouette and curved hem make it an easy-to-style piece for casual outings, workwear and everyday dressing.</t>
  </si>
  <si>
    <t>VedAarna Women Navy Blue Self-Design Tie-Up Sleeve Casual Top</t>
  </si>
  <si>
    <t>Bring a refined touch to everyday dressing with this coral pink embroidered top from VedAarna Studio. Featuring elegant contrast leaf-vine embroidery around the V-neckline, the design is finished with a contemporary band collar, three-quarter sleeves and structured cuffs. Its clean straight silhouette and gently curved hem make it easy to pair with denim, trousers or solid bottoms for casual and smart-casual styling.</t>
  </si>
  <si>
    <t>VedAarna Women Coral Pink Leaf Embroidered V-Neck Three-Quarter Sleeve Top</t>
  </si>
  <si>
    <t>Brighten everyday dressing with this mustard yellow embroidered top from VedAarna Studio. Designed with graceful coral-toned leaf-vine embroidery around the V-neckline, it features a contemporary band collar, comfortable three-quarter sleeves with broad cuffs and an easy regular silhouette. The softly curved hem completes the versatile design, making it an effortless pairing with denim, trousers or solid bottoms.</t>
  </si>
  <si>
    <t>VedAarna Women Mustard Yellow Leaf Embroidered V-Neck Three-Quarter Sleeve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</si>
</sst>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font>
      <sz val="11"/>
      <name val="Carlito"/>
    </font>
    <font>
      <b/>
      <sz val="11"/>
      <color rgb="FFFFFFFF"/>
      <name val="Carlito"/>
    </font>
    <font>
      <b/>
      <sz val="16"/>
      <color rgb="FFFFFFFF"/>
      <name val="Carlito"/>
    </font>
  </fonts>
  <fills count="7">
    <fill>
      <patternFill patternType="none"/>
    </fill>
    <fill>
      <patternFill patternType="gray125"/>
    </fill>
    <fill>
      <patternFill patternType="solid">
        <fgColor rgb="FF0F172A"/>
      </patternFill>
    </fill>
    <fill>
      <patternFill patternType="solid">
        <fgColor rgb="FFEEF2F7"/>
      </patternFill>
    </fill>
    <fill>
      <patternFill patternType="solid">
        <fgColor rgb="FFFFF6DD"/>
      </patternFill>
    </fill>
    <fill>
      <patternFill patternType="solid">
        <fgColor rgb="FFF4F7F4"/>
      </patternFill>
    </fill>
    <fill>
      <patternFill patternType="solid">
        <fgColor rgb="FFC89B3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9" fontId="0" fillId="0" borderId="0" xfId="0" applyNumberFormat="1"/>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9" fontId="0" fillId="3" borderId="0" xfId="0" applyNumberFormat="1" applyFill="1"/>
    <xf numFmtId="4" fontId="0" fillId="0" borderId="0" xfId="0" applyNumberFormat="1"/>
    <xf numFmtId="164" fontId="0" fillId="0" borderId="0" xfId="0" applyNumberFormat="1"/>
    <xf numFmtId="1" fontId="0" fillId="0" borderId="0" xfId="0" applyNumberFormat="1"/>
    <xf numFmtId="0" fontId="0" fillId="0" borderId="0" xfId="0" applyAlignment="1">
      <alignment wrapText="1"/>
    </xf>
    <xf numFmtId="0" fontId="2" fillId="2" borderId="0" xfId="0" applyFont="1" applyFill="1"/>
    <xf numFmtId="0" fontId="1" fillId="6" borderId="0" xfId="0" applyFont="1" applyFill="1"/>
  </cellXfs>
  <cellStyles count="1">
    <cellStyle name="Normal" xfId="0" builtinId="0"/>
  </cellStyles>
  <dxfs count="6">
    <dxf>
      <font>
        <b/>
      </font>
      <fill>
        <patternFill patternType="solid">
          <bgColor rgb="FFE5F4E8"/>
        </patternFill>
      </fill>
    </dxf>
    <dxf>
      <font>
        <b/>
      </font>
      <fill>
        <patternFill patternType="solid">
          <bgColor rgb="FFE5F4E8"/>
        </patternFill>
      </fill>
    </dxf>
    <dxf>
      <fill>
        <patternFill patternType="solid">
          <bgColor rgb="FFFDE8E8"/>
        </patternFill>
      </fill>
    </dxf>
    <dxf>
      <numFmt numFmtId="4" formatCode="#,##0.00"/>
    </dxf>
    <dxf>
      <numFmt numFmtId="4" formatCode="#,##0.0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dAarnaSKUMaster" displayName="VedAarnaSKUMaster" ref="A1:AI500" totalsRowShown="0">
  <tableColumns count="35">
    <tableColumn id="1" xr3:uid="{00000000-0010-0000-0000-000001000000}" name="Design No."/>
    <tableColumn id="2" xr3:uid="{00000000-0010-0000-0000-000002000000}" name="Garment Type"/>
    <tableColumn id="3" xr3:uid="{00000000-0010-0000-0000-000003000000}" name="Type Code">
      <calculatedColumnFormula>IFERROR(VLOOKUP(B2,'Code Lists'!$A:$B,2,FALSE),"")</calculatedColumnFormula>
    </tableColumn>
    <tableColumn id="4" xr3:uid="{00000000-0010-0000-0000-000004000000}" name="Set Type"/>
    <tableColumn id="5" xr3:uid="{00000000-0010-0000-0000-000005000000}" name="Fabric"/>
    <tableColumn id="6" xr3:uid="{00000000-0010-0000-0000-000006000000}" name="Fabric Code">
      <calculatedColumnFormula>IFERROR(VLOOKUP(E2,'Code Lists'!$D:$E,2,FALSE),"")</calculatedColumnFormula>
    </tableColumn>
    <tableColumn id="7" xr3:uid="{00000000-0010-0000-0000-000007000000}" name="Color"/>
    <tableColumn id="8" xr3:uid="{00000000-0010-0000-0000-000008000000}" name="Color Code">
      <calculatedColumnFormula>IFERROR(VLOOKUP(G2,'Code Lists'!$G:$H,2,FALSE),"")</calculatedColumnFormula>
    </tableColumn>
    <tableColumn id="9" xr3:uid="{00000000-0010-0000-0000-000009000000}" name="Size"/>
    <tableColumn id="10" xr3:uid="{00000000-0010-0000-0000-00000A000000}" name="Year"/>
    <tableColumn id="11" xr3:uid="{00000000-0010-0000-0000-00000B000000}" name="Pattern"/>
    <tableColumn id="12" xr3:uid="{00000000-0010-0000-0000-00000C000000}" name="Neck Type"/>
    <tableColumn id="13" xr3:uid="{00000000-0010-0000-0000-00000D000000}" name="Short Important Description"/>
    <tableColumn id="14" xr3:uid="{00000000-0010-0000-0000-00000E000000}" name="Pocket"/>
    <tableColumn id="15" xr3:uid="{00000000-0010-0000-0000-00000F000000}" name="Stock"/>
    <tableColumn id="16" xr3:uid="{00000000-0010-0000-0000-000010000000}" name="HSN/SAC Code"/>
    <tableColumn id="17" xr3:uid="{00000000-0010-0000-0000-000011000000}" name="GST %">
      <calculatedColumnFormula>IF(VedAarnaSKUMaster[[#This Row],[HSN/SAC Code]]=998822,5%,IF(VedAarnaSKUMaster[[#This Row],[HSN/SAC Code]]=998391,18%,IF(VedAarnaSKUMaster[[#This Row],[HSN/SAC Code]]=998723,5%,"")))</calculatedColumnFormula>
    </tableColumn>
    <tableColumn id="18" xr3:uid="{00000000-0010-0000-0000-000012000000}" name="Model Number"/>
    <tableColumn id="19" xr3:uid="{00000000-0010-0000-0000-000013000000}" name="Sellable SKU"/>
    <tableColumn id="20" xr3:uid="{00000000-0010-0000-0000-000014000000}" name="Product Name" dataDxfId="5"/>
    <tableColumn id="21" xr3:uid="{00000000-0010-0000-0000-000015000000}" name="MRP" dataDxfId="4">
      <calculatedColumnFormula>IF(OR(VedAarnaSKUMaster[[#This Row],[Selling Price]]="",VedAarnaSKUMaster[[#This Row],[Selling Price]]=0),"",CEILING(VedAarnaSKUMaster[[#This Row],[Selling Price]]/(1-20%),100)-1)</calculatedColumnFormula>
    </tableColumn>
    <tableColumn id="22" xr3:uid="{00000000-0010-0000-0000-000016000000}" name="Selling Price" dataDxfId="3">
      <calculatedColumnFormula>ROUND(W2/(1-50%),-2)</calculatedColumnFormula>
    </tableColumn>
    <tableColumn id="23" xr3:uid="{00000000-0010-0000-0000-000017000000}" name="Cost"/>
    <tableColumn id="24" xr3:uid="{00000000-0010-0000-0000-000018000000}" name="Photoshoot Status"/>
    <tableColumn id="25" xr3:uid="{00000000-0010-0000-0000-000019000000}" name="Website Status"/>
    <tableColumn id="26" xr3:uid="{00000000-0010-0000-0000-00001A000000}" name="01 Front">
      <calculatedColumnFormula>IF($R2="","",$R2&amp;"-01-FR.png")</calculatedColumnFormula>
    </tableColumn>
    <tableColumn id="27" xr3:uid="{00000000-0010-0000-0000-00001B000000}" name="02 Side">
      <calculatedColumnFormula>IF($R2="","",$R2&amp;"-02-SD.png")</calculatedColumnFormula>
    </tableColumn>
    <tableColumn id="28" xr3:uid="{00000000-0010-0000-0000-00001C000000}" name="03 Back">
      <calculatedColumnFormula>IF($R2="","",$R2&amp;"-03-BK.png")</calculatedColumnFormula>
    </tableColumn>
    <tableColumn id="29" xr3:uid="{00000000-0010-0000-0000-00001D000000}" name="04 Candid">
      <calculatedColumnFormula>IF($R2="","",$R2&amp;"-04-CD.png")</calculatedColumnFormula>
    </tableColumn>
    <tableColumn id="30" xr3:uid="{00000000-0010-0000-0000-00001E000000}" name="05 Walking">
      <calculatedColumnFormula>IF($R2="","",$R2&amp;"-05-WK.png")</calculatedColumnFormula>
    </tableColumn>
    <tableColumn id="31" xr3:uid="{00000000-0010-0000-0000-00001F000000}" name="06 Seated">
      <calculatedColumnFormula>IF($R2="","",$R2&amp;"-06-ST.png")</calculatedColumnFormula>
    </tableColumn>
    <tableColumn id="32" xr3:uid="{00000000-0010-0000-0000-000020000000}" name="Fabric Close-up">
      <calculatedColumnFormula>IF($R2="","",$R2&amp;"-FB.png")</calculatedColumnFormula>
    </tableColumn>
    <tableColumn id="33" xr3:uid="{00000000-0010-0000-0000-000021000000}" name="Detail">
      <calculatedColumnFormula>IF($R2="","",$R2&amp;"-DT.png")</calculatedColumnFormula>
    </tableColumn>
    <tableColumn id="34" xr3:uid="{00000000-0010-0000-0000-000022000000}" name="Reference 01">
      <calculatedColumnFormula>IF($R2="","",$R2&amp;"-REF-01.png")</calculatedColumnFormula>
    </tableColumn>
    <tableColumn id="35" xr3:uid="{00000000-0010-0000-0000-000023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0"/>
  <sheetViews>
    <sheetView tabSelected="1" workbookViewId="0">
      <pane ySplit="1" topLeftCell="A33" activePane="bottomLeft" state="frozen"/>
      <selection pane="bottomLeft" activeCell="AG35" sqref="AG35"/>
    </sheetView>
  </sheetViews>
  <sheetFormatPr defaultRowHeight="14.25"/>
  <cols>
    <col min="1" max="1" width="11" customWidth="1"/>
    <col min="2" max="2" width="18" customWidth="1"/>
    <col min="3" max="3" width="11" customWidth="1"/>
    <col min="4" max="4" width="10" customWidth="1"/>
    <col min="5" max="5" width="18" customWidth="1"/>
    <col min="6" max="6" width="12" customWidth="1"/>
    <col min="7" max="7" width="16" customWidth="1"/>
    <col min="8" max="8" width="12" customWidth="1"/>
    <col min="9" max="9" width="18.5" bestFit="1" customWidth="1"/>
    <col min="10" max="10" width="9" customWidth="1"/>
    <col min="11" max="11" width="25.375" bestFit="1" customWidth="1"/>
    <col min="12" max="12" width="18" customWidth="1"/>
    <col min="13" max="13" width="38" customWidth="1"/>
    <col min="14" max="14" width="10" customWidth="1"/>
    <col min="15" max="15" width="9" customWidth="1"/>
    <col min="16" max="16" width="14" customWidth="1"/>
    <col min="17" max="17" width="9" customWidth="1"/>
    <col min="18" max="18" width="34" customWidth="1"/>
    <col min="19" max="19" width="45" customWidth="1"/>
    <col min="20" max="20" width="30" customWidth="1"/>
    <col min="21" max="21" width="12" customWidth="1"/>
    <col min="22" max="22" width="14" customWidth="1"/>
    <col min="23" max="23" width="12" customWidth="1"/>
    <col min="24" max="24" width="18" customWidth="1"/>
    <col min="25" max="25" width="16" customWidth="1"/>
    <col min="26" max="31" width="38" customWidth="1"/>
    <col min="32" max="33" width="34" customWidth="1"/>
    <col min="34" max="34" width="38" customWidth="1"/>
    <col min="35" max="35" width="28" customWidth="1"/>
  </cols>
  <sheetData>
    <row r="1" spans="1:35" ht="32.1"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r="2" spans="1:35" ht="57">
      <c r="A2" s="9">
        <v>1</v>
      </c>
      <c r="B2" t="s">
        <v>129</v>
      </c>
      <c r="C2" s="4" t="str">
        <f>IFERROR(VLOOKUP(B2,'Code Lists'!$A:$B,2,FALSE),"")</f>
        <v>CRD</v>
      </c>
      <c r="D2" t="s">
        <v>64</v>
      </c>
      <c r="E2" t="s">
        <v>192</v>
      </c>
      <c r="F2" s="4" t="str">
        <f>IFERROR(VLOOKUP(E2,'Code Lists'!$D:$E,2,FALSE),"")</f>
        <v>STN</v>
      </c>
      <c r="G2" t="s">
        <v>242</v>
      </c>
      <c r="H2" s="4" t="str">
        <f>IFERROR(VLOOKUP(G2,'Code Lists'!$G:$H,2,FALSE),"")</f>
        <v>BRN</v>
      </c>
      <c r="I2" t="s">
        <v>321</v>
      </c>
      <c r="J2" s="10">
        <v>2026</v>
      </c>
      <c r="K2" t="s">
        <v>56</v>
      </c>
      <c r="L2" t="s">
        <v>128</v>
      </c>
      <c r="M2" s="11" t="s">
        <v>277</v>
      </c>
      <c r="N2" t="s">
        <v>42</v>
      </c>
      <c r="O2">
        <v>3</v>
      </c>
      <c r="P2">
        <v>998822</v>
      </c>
      <c r="Q2" s="7">
        <f>IF(VedAarnaSKUMaster[[#This Row],[HSN/SAC Code]]=998822,5%,IF(VedAarnaSKUMaster[[#This Row],[HSN/SAC Code]]=998391,18%,IF(VedAarnaSKUMaster[[#This Row],[HSN/SAC Code]]=998723,5%,"")))</f>
        <v>0.05</v>
      </c>
      <c r="R2" s="5" t="str">
        <f t="shared" ref="R2:R64" si="0">IF(OR(A2="",C2="",H2="",J2=""),"","VS-"&amp;C2&amp;IF(D2&lt;&gt;"","-"&amp;D2,"")&amp;"-"&amp;TEXT(A2,"0000")&amp;"-"&amp;H2&amp;"-"&amp;RIGHT(TEXT(J2,"0000"),2))</f>
        <v>VS-CRD-2PC-0001-BRN-26</v>
      </c>
      <c r="S2" s="5" t="str">
        <f t="shared" ref="S2:S64" si="1">IF(OR(A2="",C2="",F2="",H2="",I2="",J2=""),"","VS-"&amp;C2&amp;IF(D2&lt;&gt;"","-"&amp;D2,"")&amp;"-"&amp;TEXT(A2,"0000")&amp;"-"&amp;F2&amp;"-"&amp;H2&amp;"-"&amp;I2&amp;"-"&amp;RIGHT(TEXT(J2,"0000"),2))</f>
        <v>VS-CRD-2PC-0001-STN-BRN-M,L,XL-26</v>
      </c>
      <c r="T2" s="11" t="s">
        <v>278</v>
      </c>
      <c r="U2" s="8">
        <f>IF(OR(VedAarnaSKUMaster[[#This Row],[Selling Price]]="",VedAarnaSKUMaster[[#This Row],[Selling Price]]=0),"",CEILING(VedAarnaSKUMaster[[#This Row],[Selling Price]]/(1-20%),100)-1)</f>
        <v>3799</v>
      </c>
      <c r="V2" s="8">
        <f t="shared" ref="V2" si="2">ROUND(W2/(1-50%),-2)</f>
        <v>3000</v>
      </c>
      <c r="W2" s="8">
        <v>1500</v>
      </c>
      <c r="X2" t="s">
        <v>80</v>
      </c>
      <c r="Y2" t="s">
        <v>81</v>
      </c>
      <c r="Z2" s="6" t="str">
        <f>IF($R2="","",$R2&amp;"-01-FR.png")</f>
        <v>VS-CRD-2PC-0001-BRN-26-01-FR.png</v>
      </c>
      <c r="AA2" s="6" t="str">
        <f>IF($R2="","",$R2&amp;"-02-SD.png")</f>
        <v>VS-CRD-2PC-0001-BRN-26-02-SD.png</v>
      </c>
      <c r="AB2" s="6" t="str">
        <f>IF($R2="","",$R2&amp;"-03-BK.png")</f>
        <v>VS-CRD-2PC-0001-BRN-26-03-BK.png</v>
      </c>
      <c r="AC2" s="6" t="str">
        <f>IF($R2="","",$R2&amp;"-04-CD.png")</f>
        <v>VS-CRD-2PC-0001-BRN-26-04-CD.png</v>
      </c>
      <c r="AD2" s="6" t="str">
        <f>IF($R2="","",$R2&amp;"-05-WK.png")</f>
        <v>VS-CRD-2PC-0001-BRN-26-05-WK.png</v>
      </c>
      <c r="AE2" s="6" t="str">
        <f>IF($R2="","",$R2&amp;"-06-ST.png")</f>
        <v>VS-CRD-2PC-0001-BRN-26-06-ST.png</v>
      </c>
      <c r="AF2" s="6" t="str">
        <f>IF($R2="","",$R2&amp;"-FB.png")</f>
        <v>VS-CRD-2PC-0001-BRN-26-FB.png</v>
      </c>
      <c r="AG2" s="6" t="str">
        <f>IF($R2="","",$R2&amp;"-DT.png")</f>
        <v>VS-CRD-2PC-0001-BRN-26-DT.png</v>
      </c>
      <c r="AH2" s="6" t="str">
        <f>IF($R2="","",$R2&amp;"-REF-01.png")</f>
        <v>VS-CRD-2PC-0001-BRN-26-REF-01.png</v>
      </c>
    </row>
    <row r="3" spans="1:35" ht="57">
      <c r="A3" s="9">
        <v>2</v>
      </c>
      <c r="B3" t="s">
        <v>304</v>
      </c>
      <c r="C3" s="4" t="str">
        <f>IFERROR(VLOOKUP(B3,'Code Lists'!$A:$B,2,FALSE),"")</f>
        <v>THS</v>
      </c>
      <c r="D3" t="s">
        <v>36</v>
      </c>
      <c r="E3" t="s">
        <v>175</v>
      </c>
      <c r="F3" s="4" t="str">
        <f>IFERROR(VLOOKUP(E3,'Code Lists'!$D:$E,2,FALSE),"")</f>
        <v>ASL</v>
      </c>
      <c r="G3" t="s">
        <v>248</v>
      </c>
      <c r="H3" s="4" t="str">
        <f>IFERROR(VLOOKUP(G3,'Code Lists'!$G:$H,2,FALSE),"")</f>
        <v>MLT</v>
      </c>
      <c r="I3" t="s">
        <v>321</v>
      </c>
      <c r="J3" s="10">
        <v>2026</v>
      </c>
      <c r="K3" t="s">
        <v>65</v>
      </c>
      <c r="L3" t="s">
        <v>66</v>
      </c>
      <c r="M3" s="11" t="s">
        <v>279</v>
      </c>
      <c r="N3" t="s">
        <v>67</v>
      </c>
      <c r="O3">
        <v>3</v>
      </c>
      <c r="P3">
        <v>998822</v>
      </c>
      <c r="Q3" s="7">
        <f>IF(VedAarnaSKUMaster[[#This Row],[HSN/SAC Code]]=998822,5%,IF(VedAarnaSKUMaster[[#This Row],[HSN/SAC Code]]=998391,18%,IF(VedAarnaSKUMaster[[#This Row],[HSN/SAC Code]]=998723,5%,"")))</f>
        <v>0.05</v>
      </c>
      <c r="R3" s="5" t="str">
        <f t="shared" si="0"/>
        <v>VS-THS-3PC-0002-MLT-26</v>
      </c>
      <c r="S3" s="5" t="str">
        <f t="shared" si="1"/>
        <v>VS-THS-3PC-0002-ASL-MLT-M,L,XL-26</v>
      </c>
      <c r="T3" s="11" t="s">
        <v>282</v>
      </c>
      <c r="U3" s="8">
        <f>IF(OR(VedAarnaSKUMaster[[#This Row],[Selling Price]]="",VedAarnaSKUMaster[[#This Row],[Selling Price]]=0),"",CEILING(VedAarnaSKUMaster[[#This Row],[Selling Price]]/(1-20%),100)-1)</f>
        <v>4999</v>
      </c>
      <c r="V3">
        <f>ROUND(W3/(1-50%),-2)</f>
        <v>4000</v>
      </c>
      <c r="W3" s="8">
        <v>2000</v>
      </c>
      <c r="X3" t="s">
        <v>80</v>
      </c>
      <c r="Y3" t="s">
        <v>81</v>
      </c>
      <c r="Z3" s="6" t="str">
        <f t="shared" ref="Z3:Z65" si="3">IF($R3="","",$R3&amp;"-01-FR.png")</f>
        <v>VS-THS-3PC-0002-MLT-26-01-FR.png</v>
      </c>
      <c r="AA3" s="6" t="str">
        <f t="shared" ref="AA3:AA65" si="4">IF($R3="","",$R3&amp;"-02-SD.png")</f>
        <v>VS-THS-3PC-0002-MLT-26-02-SD.png</v>
      </c>
      <c r="AB3" s="6" t="str">
        <f t="shared" ref="AB3:AB65" si="5">IF($R3="","",$R3&amp;"-03-BK.png")</f>
        <v>VS-THS-3PC-0002-MLT-26-03-BK.png</v>
      </c>
      <c r="AC3" s="6" t="str">
        <f t="shared" ref="AC3:AC65" si="6">IF($R3="","",$R3&amp;"-04-CD.png")</f>
        <v>VS-THS-3PC-0002-MLT-26-04-CD.png</v>
      </c>
      <c r="AD3" s="6" t="str">
        <f t="shared" ref="AD3:AD65" si="7">IF($R3="","",$R3&amp;"-05-WK.png")</f>
        <v>VS-THS-3PC-0002-MLT-26-05-WK.png</v>
      </c>
      <c r="AE3" s="6" t="str">
        <f t="shared" ref="AE3:AE65" si="8">IF($R3="","",$R3&amp;"-06-ST.png")</f>
        <v>VS-THS-3PC-0002-MLT-26-06-ST.png</v>
      </c>
      <c r="AF3" s="6" t="str">
        <f t="shared" ref="AF3:AF65" si="9">IF($R3="","",$R3&amp;"-FB.png")</f>
        <v>VS-THS-3PC-0002-MLT-26-FB.png</v>
      </c>
      <c r="AG3" s="6" t="str">
        <f t="shared" ref="AG3:AG65" si="10">IF($R3="","",$R3&amp;"-DT.png")</f>
        <v>VS-THS-3PC-0002-MLT-26-DT.png</v>
      </c>
      <c r="AH3" s="6" t="str">
        <f t="shared" ref="AH3:AH65" si="11">IF($R3="","",$R3&amp;"-REF-01.png")</f>
        <v>VS-THS-3PC-0002-MLT-26-REF-01.png</v>
      </c>
    </row>
    <row r="4" spans="1:35" ht="57">
      <c r="A4" s="9">
        <v>3</v>
      </c>
      <c r="B4" t="s">
        <v>35</v>
      </c>
      <c r="C4" s="4" t="str">
        <f>IFERROR(VLOOKUP(B4,'Code Lists'!$A:$B,2,FALSE),"")</f>
        <v>SUT</v>
      </c>
      <c r="D4" t="s">
        <v>36</v>
      </c>
      <c r="E4" t="s">
        <v>287</v>
      </c>
      <c r="F4" s="4" t="str">
        <f>IFERROR(VLOOKUP(E4,'Code Lists'!$D:$E,2,FALSE),"")</f>
        <v>PCT</v>
      </c>
      <c r="G4" t="s">
        <v>291</v>
      </c>
      <c r="H4" s="4" t="str">
        <f>IFERROR(VLOOKUP(G4,'Code Lists'!$G:$H,2,FALSE),"")</f>
        <v>DPW</v>
      </c>
      <c r="I4" t="s">
        <v>326</v>
      </c>
      <c r="J4" s="10">
        <v>2026</v>
      </c>
      <c r="K4" t="s">
        <v>280</v>
      </c>
      <c r="L4" t="s">
        <v>66</v>
      </c>
      <c r="M4" s="11" t="s">
        <v>281</v>
      </c>
      <c r="N4" t="s">
        <v>67</v>
      </c>
      <c r="O4">
        <v>2</v>
      </c>
      <c r="P4">
        <v>998822</v>
      </c>
      <c r="Q4" s="7">
        <f>IF(VedAarnaSKUMaster[[#This Row],[HSN/SAC Code]]=998822,5%,IF(VedAarnaSKUMaster[[#This Row],[HSN/SAC Code]]=998391,18%,IF(VedAarnaSKUMaster[[#This Row],[HSN/SAC Code]]=998723,5%,"")))</f>
        <v>0.05</v>
      </c>
      <c r="R4" s="5" t="str">
        <f t="shared" si="0"/>
        <v>VS-SUT-3PC-0003-DPW-26</v>
      </c>
      <c r="S4" s="5" t="str">
        <f t="shared" si="1"/>
        <v>VS-SUT-3PC-0003-PCT-DPW-M,L-26</v>
      </c>
      <c r="T4" s="11" t="s">
        <v>283</v>
      </c>
      <c r="U4" s="8">
        <f>IF(OR(VedAarnaSKUMaster[[#This Row],[Selling Price]]="",VedAarnaSKUMaster[[#This Row],[Selling Price]]=0),"",CEILING(VedAarnaSKUMaster[[#This Row],[Selling Price]]/(1-20%),100)-1)</f>
        <v>3799</v>
      </c>
      <c r="V4">
        <f t="shared" ref="V4:V66" si="12">ROUND(W4/(1-50%),-2)</f>
        <v>3000</v>
      </c>
      <c r="W4" s="8">
        <v>1500</v>
      </c>
      <c r="X4" t="s">
        <v>80</v>
      </c>
      <c r="Y4" t="s">
        <v>81</v>
      </c>
      <c r="Z4" s="6" t="str">
        <f t="shared" si="3"/>
        <v>VS-SUT-3PC-0003-DPW-26-01-FR.png</v>
      </c>
      <c r="AA4" s="6" t="str">
        <f t="shared" si="4"/>
        <v>VS-SUT-3PC-0003-DPW-26-02-SD.png</v>
      </c>
      <c r="AB4" s="6" t="str">
        <f t="shared" si="5"/>
        <v>VS-SUT-3PC-0003-DPW-26-03-BK.png</v>
      </c>
      <c r="AC4" s="6" t="str">
        <f t="shared" si="6"/>
        <v>VS-SUT-3PC-0003-DPW-26-04-CD.png</v>
      </c>
      <c r="AD4" s="6" t="str">
        <f t="shared" si="7"/>
        <v>VS-SUT-3PC-0003-DPW-26-05-WK.png</v>
      </c>
      <c r="AE4" s="6" t="str">
        <f t="shared" si="8"/>
        <v>VS-SUT-3PC-0003-DPW-26-06-ST.png</v>
      </c>
      <c r="AF4" s="6" t="str">
        <f t="shared" si="9"/>
        <v>VS-SUT-3PC-0003-DPW-26-FB.png</v>
      </c>
      <c r="AG4" s="6" t="str">
        <f t="shared" si="10"/>
        <v>VS-SUT-3PC-0003-DPW-26-DT.png</v>
      </c>
      <c r="AH4" s="6" t="str">
        <f t="shared" si="11"/>
        <v>VS-SUT-3PC-0003-DPW-26-REF-01.png</v>
      </c>
    </row>
    <row r="5" spans="1:35" ht="71.25">
      <c r="A5" s="9">
        <v>4</v>
      </c>
      <c r="B5" t="s">
        <v>35</v>
      </c>
      <c r="C5" s="4" t="str">
        <f>IFERROR(VLOOKUP(B5,'Code Lists'!$A:$B,2,FALSE),"")</f>
        <v>SUT</v>
      </c>
      <c r="D5" t="s">
        <v>36</v>
      </c>
      <c r="E5" t="s">
        <v>289</v>
      </c>
      <c r="F5" s="4" t="str">
        <f>IFERROR(VLOOKUP(E5,'Code Lists'!$D:$E,2,FALSE),"")</f>
        <v>MIC</v>
      </c>
      <c r="G5" t="s">
        <v>76</v>
      </c>
      <c r="H5" s="4" t="str">
        <f>IFERROR(VLOOKUP(G5,'Code Lists'!$G:$H,2,FALSE),"")</f>
        <v>IVR</v>
      </c>
      <c r="I5" t="s">
        <v>321</v>
      </c>
      <c r="J5" s="10">
        <v>2026</v>
      </c>
      <c r="K5" t="s">
        <v>293</v>
      </c>
      <c r="L5" t="s">
        <v>41</v>
      </c>
      <c r="M5" s="11" t="s">
        <v>294</v>
      </c>
      <c r="N5" t="s">
        <v>67</v>
      </c>
      <c r="O5">
        <v>3</v>
      </c>
      <c r="P5">
        <v>998822</v>
      </c>
      <c r="Q5" s="7">
        <f>IF(VedAarnaSKUMaster[[#This Row],[HSN/SAC Code]]=998822,5%,IF(VedAarnaSKUMaster[[#This Row],[HSN/SAC Code]]=998391,18%,IF(VedAarnaSKUMaster[[#This Row],[HSN/SAC Code]]=998723,5%,"")))</f>
        <v>0.05</v>
      </c>
      <c r="R5" s="5" t="str">
        <f t="shared" si="0"/>
        <v>VS-SUT-3PC-0004-IVR-26</v>
      </c>
      <c r="S5" s="5" t="str">
        <f t="shared" si="1"/>
        <v>VS-SUT-3PC-0004-MIC-IVR-M,L,XL-26</v>
      </c>
      <c r="T5" s="11" t="s">
        <v>284</v>
      </c>
      <c r="U5" s="8">
        <f>IF(OR(VedAarnaSKUMaster[[#This Row],[Selling Price]]="",VedAarnaSKUMaster[[#This Row],[Selling Price]]=0),"",CEILING(VedAarnaSKUMaster[[#This Row],[Selling Price]]/(1-20%),100)-1)</f>
        <v>2999</v>
      </c>
      <c r="V5">
        <f t="shared" si="12"/>
        <v>2400</v>
      </c>
      <c r="W5" s="8">
        <v>1200</v>
      </c>
      <c r="X5" t="s">
        <v>80</v>
      </c>
      <c r="Y5" t="s">
        <v>81</v>
      </c>
      <c r="Z5" s="6" t="str">
        <f t="shared" si="3"/>
        <v>VS-SUT-3PC-0004-IVR-26-01-FR.png</v>
      </c>
      <c r="AA5" s="6" t="str">
        <f t="shared" si="4"/>
        <v>VS-SUT-3PC-0004-IVR-26-02-SD.png</v>
      </c>
      <c r="AB5" s="6" t="str">
        <f t="shared" si="5"/>
        <v>VS-SUT-3PC-0004-IVR-26-03-BK.png</v>
      </c>
      <c r="AC5" s="6" t="str">
        <f t="shared" si="6"/>
        <v>VS-SUT-3PC-0004-IVR-26-04-CD.png</v>
      </c>
      <c r="AD5" s="6" t="str">
        <f t="shared" si="7"/>
        <v>VS-SUT-3PC-0004-IVR-26-05-WK.png</v>
      </c>
      <c r="AE5" s="6" t="str">
        <f t="shared" si="8"/>
        <v>VS-SUT-3PC-0004-IVR-26-06-ST.png</v>
      </c>
      <c r="AF5" s="6" t="str">
        <f t="shared" si="9"/>
        <v>VS-SUT-3PC-0004-IVR-26-FB.png</v>
      </c>
      <c r="AG5" s="6" t="str">
        <f t="shared" si="10"/>
        <v>VS-SUT-3PC-0004-IVR-26-DT.png</v>
      </c>
      <c r="AH5" s="6" t="str">
        <f t="shared" si="11"/>
        <v>VS-SUT-3PC-0004-IVR-26-REF-01.png</v>
      </c>
    </row>
    <row r="6" spans="1:35" ht="85.5">
      <c r="A6" s="9">
        <v>5</v>
      </c>
      <c r="B6" t="s">
        <v>35</v>
      </c>
      <c r="C6" s="4" t="str">
        <f>IFERROR(VLOOKUP(B6,'Code Lists'!$A:$B,2,FALSE),"")</f>
        <v>SUT</v>
      </c>
      <c r="D6" t="s">
        <v>36</v>
      </c>
      <c r="E6" t="s">
        <v>287</v>
      </c>
      <c r="F6" s="4" t="str">
        <f>IFERROR(VLOOKUP(E6,'Code Lists'!$D:$E,2,FALSE),"")</f>
        <v>PCT</v>
      </c>
      <c r="G6" t="s">
        <v>240</v>
      </c>
      <c r="H6" s="4" t="str">
        <f>IFERROR(VLOOKUP(G6,'Code Lists'!$G:$H,2,FALSE),"")</f>
        <v>GRY</v>
      </c>
      <c r="I6" t="s">
        <v>321</v>
      </c>
      <c r="J6" s="10">
        <v>2026</v>
      </c>
      <c r="K6" t="s">
        <v>280</v>
      </c>
      <c r="L6" t="s">
        <v>66</v>
      </c>
      <c r="M6" s="11" t="s">
        <v>295</v>
      </c>
      <c r="N6" t="s">
        <v>67</v>
      </c>
      <c r="O6">
        <v>3</v>
      </c>
      <c r="P6">
        <v>998822</v>
      </c>
      <c r="Q6" s="7">
        <f>IF(VedAarnaSKUMaster[[#This Row],[HSN/SAC Code]]=998822,5%,IF(VedAarnaSKUMaster[[#This Row],[HSN/SAC Code]]=998391,18%,IF(VedAarnaSKUMaster[[#This Row],[HSN/SAC Code]]=998723,5%,"")))</f>
        <v>0.05</v>
      </c>
      <c r="R6" s="5" t="str">
        <f t="shared" si="0"/>
        <v>VS-SUT-3PC-0005-GRY-26</v>
      </c>
      <c r="S6" s="5" t="str">
        <f t="shared" si="1"/>
        <v>VS-SUT-3PC-0005-PCT-GRY-M,L,XL-26</v>
      </c>
      <c r="T6" s="11" t="s">
        <v>296</v>
      </c>
      <c r="U6" s="8">
        <f>IF(OR(VedAarnaSKUMaster[[#This Row],[Selling Price]]="",VedAarnaSKUMaster[[#This Row],[Selling Price]]=0),"",CEILING(VedAarnaSKUMaster[[#This Row],[Selling Price]]/(1-20%),100)-1)</f>
        <v>3799</v>
      </c>
      <c r="V6">
        <f t="shared" si="12"/>
        <v>3000</v>
      </c>
      <c r="W6" s="8">
        <v>1500</v>
      </c>
      <c r="X6" t="s">
        <v>80</v>
      </c>
      <c r="Y6" t="s">
        <v>81</v>
      </c>
      <c r="Z6" s="6" t="str">
        <f t="shared" si="3"/>
        <v>VS-SUT-3PC-0005-GRY-26-01-FR.png</v>
      </c>
      <c r="AA6" s="6" t="str">
        <f t="shared" si="4"/>
        <v>VS-SUT-3PC-0005-GRY-26-02-SD.png</v>
      </c>
      <c r="AB6" s="6" t="str">
        <f t="shared" si="5"/>
        <v>VS-SUT-3PC-0005-GRY-26-03-BK.png</v>
      </c>
      <c r="AC6" s="6" t="str">
        <f t="shared" si="6"/>
        <v>VS-SUT-3PC-0005-GRY-26-04-CD.png</v>
      </c>
      <c r="AD6" s="6" t="str">
        <f t="shared" si="7"/>
        <v>VS-SUT-3PC-0005-GRY-26-05-WK.png</v>
      </c>
      <c r="AE6" s="6" t="str">
        <f t="shared" si="8"/>
        <v>VS-SUT-3PC-0005-GRY-26-06-ST.png</v>
      </c>
      <c r="AF6" s="6" t="str">
        <f t="shared" si="9"/>
        <v>VS-SUT-3PC-0005-GRY-26-FB.png</v>
      </c>
      <c r="AG6" s="6" t="str">
        <f t="shared" si="10"/>
        <v>VS-SUT-3PC-0005-GRY-26-DT.png</v>
      </c>
      <c r="AH6" s="6" t="str">
        <f t="shared" si="11"/>
        <v>VS-SUT-3PC-0005-GRY-26-REF-01.png</v>
      </c>
    </row>
    <row r="7" spans="1:35" ht="57">
      <c r="A7" s="9">
        <v>6</v>
      </c>
      <c r="B7" t="s">
        <v>35</v>
      </c>
      <c r="C7" s="4" t="str">
        <f>IFERROR(VLOOKUP(B7,'Code Lists'!$A:$B,2,FALSE),"")</f>
        <v>SUT</v>
      </c>
      <c r="D7" t="s">
        <v>36</v>
      </c>
      <c r="E7" t="s">
        <v>297</v>
      </c>
      <c r="F7" s="4" t="str">
        <f>IFERROR(VLOOKUP(E7,'Code Lists'!$D:$E,2,FALSE),"")</f>
        <v>RCT</v>
      </c>
      <c r="G7" t="s">
        <v>76</v>
      </c>
      <c r="H7" s="4" t="str">
        <f>IFERROR(VLOOKUP(G7,'Code Lists'!$G:$H,2,FALSE),"")</f>
        <v>IVR</v>
      </c>
      <c r="I7" t="s">
        <v>321</v>
      </c>
      <c r="J7" s="10">
        <v>2026</v>
      </c>
      <c r="K7" t="s">
        <v>299</v>
      </c>
      <c r="L7" t="s">
        <v>41</v>
      </c>
      <c r="M7" s="11" t="s">
        <v>300</v>
      </c>
      <c r="N7" t="s">
        <v>67</v>
      </c>
      <c r="O7">
        <v>3</v>
      </c>
      <c r="P7">
        <v>998822</v>
      </c>
      <c r="Q7" s="7">
        <f>IF(VedAarnaSKUMaster[[#This Row],[HSN/SAC Code]]=998822,5%,IF(VedAarnaSKUMaster[[#This Row],[HSN/SAC Code]]=998391,18%,IF(VedAarnaSKUMaster[[#This Row],[HSN/SAC Code]]=998723,5%,"")))</f>
        <v>0.05</v>
      </c>
      <c r="R7" s="5" t="str">
        <f t="shared" si="0"/>
        <v>VS-SUT-3PC-0006-IVR-26</v>
      </c>
      <c r="S7" s="5" t="str">
        <f t="shared" si="1"/>
        <v>VS-SUT-3PC-0006-RCT-IVR-M,L,XL-26</v>
      </c>
      <c r="T7" s="11" t="s">
        <v>301</v>
      </c>
      <c r="U7" s="8">
        <f>IF(OR(VedAarnaSKUMaster[[#This Row],[Selling Price]]="",VedAarnaSKUMaster[[#This Row],[Selling Price]]=0),"",CEILING(VedAarnaSKUMaster[[#This Row],[Selling Price]]/(1-20%),100)-1)</f>
        <v>3499</v>
      </c>
      <c r="V7">
        <f t="shared" si="12"/>
        <v>2800</v>
      </c>
      <c r="W7" s="8">
        <v>1400</v>
      </c>
      <c r="X7" t="s">
        <v>80</v>
      </c>
      <c r="Y7" t="s">
        <v>81</v>
      </c>
      <c r="Z7" s="6" t="str">
        <f t="shared" si="3"/>
        <v>VS-SUT-3PC-0006-IVR-26-01-FR.png</v>
      </c>
      <c r="AA7" s="6" t="str">
        <f t="shared" si="4"/>
        <v>VS-SUT-3PC-0006-IVR-26-02-SD.png</v>
      </c>
      <c r="AB7" s="6" t="str">
        <f t="shared" si="5"/>
        <v>VS-SUT-3PC-0006-IVR-26-03-BK.png</v>
      </c>
      <c r="AC7" s="6" t="str">
        <f t="shared" si="6"/>
        <v>VS-SUT-3PC-0006-IVR-26-04-CD.png</v>
      </c>
      <c r="AD7" s="6" t="str">
        <f t="shared" si="7"/>
        <v>VS-SUT-3PC-0006-IVR-26-05-WK.png</v>
      </c>
      <c r="AE7" s="6" t="str">
        <f t="shared" si="8"/>
        <v>VS-SUT-3PC-0006-IVR-26-06-ST.png</v>
      </c>
      <c r="AF7" s="6" t="str">
        <f t="shared" si="9"/>
        <v>VS-SUT-3PC-0006-IVR-26-FB.png</v>
      </c>
      <c r="AG7" s="6" t="str">
        <f t="shared" si="10"/>
        <v>VS-SUT-3PC-0006-IVR-26-DT.png</v>
      </c>
      <c r="AH7" s="6" t="str">
        <f t="shared" si="11"/>
        <v>VS-SUT-3PC-0006-IVR-26-REF-01.png</v>
      </c>
    </row>
    <row r="8" spans="1:35" ht="57">
      <c r="A8" s="9">
        <v>7</v>
      </c>
      <c r="B8" t="s">
        <v>302</v>
      </c>
      <c r="C8" s="4" t="str">
        <f>IFERROR(VLOOKUP(B8,'Code Lists'!$A:$B,2,FALSE),"")</f>
        <v>OPC</v>
      </c>
      <c r="D8" t="s">
        <v>55</v>
      </c>
      <c r="E8" t="s">
        <v>104</v>
      </c>
      <c r="F8" s="4" t="str">
        <f>IFERROR(VLOOKUP(E8,'Code Lists'!$D:$E,2,FALSE),"")</f>
        <v>CHS</v>
      </c>
      <c r="G8" t="s">
        <v>88</v>
      </c>
      <c r="H8" s="4" t="str">
        <f>IFERROR(VLOOKUP(G8,'Code Lists'!$G:$H,2,FALSE),"")</f>
        <v>BEG</v>
      </c>
      <c r="I8" t="s">
        <v>326</v>
      </c>
      <c r="J8" s="10">
        <v>2026</v>
      </c>
      <c r="K8" t="s">
        <v>109</v>
      </c>
      <c r="L8" t="s">
        <v>119</v>
      </c>
      <c r="M8" s="11" t="s">
        <v>306</v>
      </c>
      <c r="N8" t="s">
        <v>42</v>
      </c>
      <c r="O8">
        <v>2</v>
      </c>
      <c r="P8">
        <v>998822</v>
      </c>
      <c r="Q8" s="7">
        <f>IF(VedAarnaSKUMaster[[#This Row],[HSN/SAC Code]]=998822,5%,IF(VedAarnaSKUMaster[[#This Row],[HSN/SAC Code]]=998391,18%,IF(VedAarnaSKUMaster[[#This Row],[HSN/SAC Code]]=998723,5%,"")))</f>
        <v>0.05</v>
      </c>
      <c r="R8" s="5" t="str">
        <f t="shared" si="0"/>
        <v>VS-OPC-1PC-0007-BEG-26</v>
      </c>
      <c r="S8" s="5" t="str">
        <f t="shared" si="1"/>
        <v>VS-OPC-1PC-0007-CHS-BEG-M,L-26</v>
      </c>
      <c r="T8" s="11" t="s">
        <v>307</v>
      </c>
      <c r="U8" s="8">
        <f>IF(OR(VedAarnaSKUMaster[[#This Row],[Selling Price]]="",VedAarnaSKUMaster[[#This Row],[Selling Price]]=0),"",CEILING(VedAarnaSKUMaster[[#This Row],[Selling Price]]/(1-20%),100)-1)</f>
        <v>3799</v>
      </c>
      <c r="V8">
        <f t="shared" si="12"/>
        <v>3000</v>
      </c>
      <c r="W8" s="8">
        <v>1500</v>
      </c>
      <c r="X8" t="s">
        <v>80</v>
      </c>
      <c r="Y8" t="s">
        <v>81</v>
      </c>
      <c r="Z8" s="6" t="str">
        <f t="shared" si="3"/>
        <v>VS-OPC-1PC-0007-BEG-26-01-FR.png</v>
      </c>
      <c r="AA8" s="6" t="str">
        <f t="shared" si="4"/>
        <v>VS-OPC-1PC-0007-BEG-26-02-SD.png</v>
      </c>
      <c r="AB8" s="6" t="str">
        <f t="shared" si="5"/>
        <v>VS-OPC-1PC-0007-BEG-26-03-BK.png</v>
      </c>
      <c r="AC8" s="6" t="str">
        <f t="shared" si="6"/>
        <v>VS-OPC-1PC-0007-BEG-26-04-CD.png</v>
      </c>
      <c r="AD8" s="6" t="str">
        <f t="shared" si="7"/>
        <v>VS-OPC-1PC-0007-BEG-26-05-WK.png</v>
      </c>
      <c r="AE8" s="6" t="str">
        <f t="shared" si="8"/>
        <v>VS-OPC-1PC-0007-BEG-26-06-ST.png</v>
      </c>
      <c r="AF8" s="6" t="str">
        <f t="shared" si="9"/>
        <v>VS-OPC-1PC-0007-BEG-26-FB.png</v>
      </c>
      <c r="AG8" s="6" t="str">
        <f t="shared" si="10"/>
        <v>VS-OPC-1PC-0007-BEG-26-DT.png</v>
      </c>
      <c r="AH8" s="6" t="str">
        <f t="shared" si="11"/>
        <v>VS-OPC-1PC-0007-BEG-26-REF-01.png</v>
      </c>
    </row>
    <row r="9" spans="1:35" ht="71.25">
      <c r="A9" s="9">
        <v>8</v>
      </c>
      <c r="B9" t="s">
        <v>35</v>
      </c>
      <c r="C9" s="4" t="str">
        <f>IFERROR(VLOOKUP(B9,'Code Lists'!$A:$B,2,FALSE),"")</f>
        <v>SUT</v>
      </c>
      <c r="D9" t="s">
        <v>36</v>
      </c>
      <c r="E9" t="s">
        <v>287</v>
      </c>
      <c r="F9" s="4" t="str">
        <f>IFERROR(VLOOKUP(E9,'Code Lists'!$D:$E,2,FALSE),"")</f>
        <v>PCT</v>
      </c>
      <c r="G9" t="s">
        <v>308</v>
      </c>
      <c r="H9" s="4" t="str">
        <f>IFERROR(VLOOKUP(G9,'Code Lists'!$G:$H,2,FALSE),"")</f>
        <v>AQG</v>
      </c>
      <c r="I9" t="s">
        <v>321</v>
      </c>
      <c r="J9" s="10">
        <v>2026</v>
      </c>
      <c r="K9" t="s">
        <v>310</v>
      </c>
      <c r="L9" t="s">
        <v>41</v>
      </c>
      <c r="M9" s="11" t="s">
        <v>311</v>
      </c>
      <c r="N9" t="s">
        <v>67</v>
      </c>
      <c r="O9">
        <v>3</v>
      </c>
      <c r="P9">
        <v>998822</v>
      </c>
      <c r="Q9" s="7">
        <f>IF(VedAarnaSKUMaster[[#This Row],[HSN/SAC Code]]=998822,5%,IF(VedAarnaSKUMaster[[#This Row],[HSN/SAC Code]]=998391,18%,IF(VedAarnaSKUMaster[[#This Row],[HSN/SAC Code]]=998723,5%,"")))</f>
        <v>0.05</v>
      </c>
      <c r="R9" s="5" t="str">
        <f t="shared" si="0"/>
        <v>VS-SUT-3PC-0008-AQG-26</v>
      </c>
      <c r="S9" s="5" t="str">
        <f t="shared" si="1"/>
        <v>VS-SUT-3PC-0008-PCT-AQG-M,L,XL-26</v>
      </c>
      <c r="T9" s="11" t="s">
        <v>312</v>
      </c>
      <c r="U9" s="8">
        <f>IF(OR(VedAarnaSKUMaster[[#This Row],[Selling Price]]="",VedAarnaSKUMaster[[#This Row],[Selling Price]]=0),"",CEILING(VedAarnaSKUMaster[[#This Row],[Selling Price]]/(1-20%),100)-1)</f>
        <v>3799</v>
      </c>
      <c r="V9">
        <f t="shared" si="12"/>
        <v>3000</v>
      </c>
      <c r="W9" s="8">
        <v>1500</v>
      </c>
      <c r="X9" t="s">
        <v>80</v>
      </c>
      <c r="Y9" t="s">
        <v>81</v>
      </c>
      <c r="Z9" s="6" t="str">
        <f t="shared" si="3"/>
        <v>VS-SUT-3PC-0008-AQG-26-01-FR.png</v>
      </c>
      <c r="AA9" s="6" t="str">
        <f t="shared" si="4"/>
        <v>VS-SUT-3PC-0008-AQG-26-02-SD.png</v>
      </c>
      <c r="AB9" s="6" t="str">
        <f t="shared" si="5"/>
        <v>VS-SUT-3PC-0008-AQG-26-03-BK.png</v>
      </c>
      <c r="AC9" s="6" t="str">
        <f t="shared" si="6"/>
        <v>VS-SUT-3PC-0008-AQG-26-04-CD.png</v>
      </c>
      <c r="AD9" s="6" t="str">
        <f t="shared" si="7"/>
        <v>VS-SUT-3PC-0008-AQG-26-05-WK.png</v>
      </c>
      <c r="AE9" s="6" t="str">
        <f t="shared" si="8"/>
        <v>VS-SUT-3PC-0008-AQG-26-06-ST.png</v>
      </c>
      <c r="AF9" s="6" t="str">
        <f t="shared" si="9"/>
        <v>VS-SUT-3PC-0008-AQG-26-FB.png</v>
      </c>
      <c r="AG9" s="6" t="str">
        <f t="shared" si="10"/>
        <v>VS-SUT-3PC-0008-AQG-26-DT.png</v>
      </c>
      <c r="AH9" s="6" t="str">
        <f t="shared" si="11"/>
        <v>VS-SUT-3PC-0008-AQG-26-REF-01.png</v>
      </c>
    </row>
    <row r="10" spans="1:35" ht="57">
      <c r="A10" s="9">
        <v>9</v>
      </c>
      <c r="B10" t="s">
        <v>302</v>
      </c>
      <c r="C10" s="4" t="str">
        <f>IFERROR(VLOOKUP(B10,'Code Lists'!$A:$B,2,FALSE),"")</f>
        <v>OPC</v>
      </c>
      <c r="D10" t="s">
        <v>55</v>
      </c>
      <c r="E10" t="s">
        <v>186</v>
      </c>
      <c r="F10" s="4" t="str">
        <f>IFERROR(VLOOKUP(E10,'Code Lists'!$D:$E,2,FALSE),"")</f>
        <v>VLT</v>
      </c>
      <c r="G10" t="s">
        <v>313</v>
      </c>
      <c r="H10" s="4" t="str">
        <f>IFERROR(VLOOKUP(G10,'Code Lists'!$G:$H,2,FALSE),"")</f>
        <v>BGY</v>
      </c>
      <c r="I10" t="s">
        <v>326</v>
      </c>
      <c r="J10" s="10">
        <v>2026</v>
      </c>
      <c r="K10" t="s">
        <v>109</v>
      </c>
      <c r="L10" t="s">
        <v>137</v>
      </c>
      <c r="M10" s="11" t="s">
        <v>315</v>
      </c>
      <c r="N10" t="s">
        <v>67</v>
      </c>
      <c r="O10">
        <v>2</v>
      </c>
      <c r="P10">
        <v>998822</v>
      </c>
      <c r="Q10" s="7">
        <f>IF(VedAarnaSKUMaster[[#This Row],[HSN/SAC Code]]=998822,5%,IF(VedAarnaSKUMaster[[#This Row],[HSN/SAC Code]]=998391,18%,IF(VedAarnaSKUMaster[[#This Row],[HSN/SAC Code]]=998723,5%,"")))</f>
        <v>0.05</v>
      </c>
      <c r="R10" s="5" t="str">
        <f t="shared" si="0"/>
        <v>VS-OPC-1PC-0009-BGY-26</v>
      </c>
      <c r="S10" s="5" t="str">
        <f t="shared" si="1"/>
        <v>VS-OPC-1PC-0009-VLT-BGY-M,L-26</v>
      </c>
      <c r="T10" s="11" t="s">
        <v>316</v>
      </c>
      <c r="U10" s="8">
        <f>IF(OR(VedAarnaSKUMaster[[#This Row],[Selling Price]]="",VedAarnaSKUMaster[[#This Row],[Selling Price]]=0),"",CEILING(VedAarnaSKUMaster[[#This Row],[Selling Price]]/(1-20%),100)-1)</f>
        <v>2799</v>
      </c>
      <c r="V10">
        <f t="shared" si="12"/>
        <v>2200</v>
      </c>
      <c r="W10" s="8">
        <v>1100</v>
      </c>
      <c r="X10" t="s">
        <v>80</v>
      </c>
      <c r="Y10" t="s">
        <v>81</v>
      </c>
      <c r="Z10" s="6" t="str">
        <f t="shared" si="3"/>
        <v>VS-OPC-1PC-0009-BGY-26-01-FR.png</v>
      </c>
      <c r="AA10" s="6" t="str">
        <f t="shared" si="4"/>
        <v>VS-OPC-1PC-0009-BGY-26-02-SD.png</v>
      </c>
      <c r="AB10" s="6" t="str">
        <f t="shared" si="5"/>
        <v>VS-OPC-1PC-0009-BGY-26-03-BK.png</v>
      </c>
      <c r="AC10" s="6" t="str">
        <f t="shared" si="6"/>
        <v>VS-OPC-1PC-0009-BGY-26-04-CD.png</v>
      </c>
      <c r="AD10" s="6" t="str">
        <f t="shared" si="7"/>
        <v>VS-OPC-1PC-0009-BGY-26-05-WK.png</v>
      </c>
      <c r="AE10" s="6" t="str">
        <f t="shared" si="8"/>
        <v>VS-OPC-1PC-0009-BGY-26-06-ST.png</v>
      </c>
      <c r="AF10" s="6" t="str">
        <f t="shared" si="9"/>
        <v>VS-OPC-1PC-0009-BGY-26-FB.png</v>
      </c>
      <c r="AG10" s="6" t="str">
        <f t="shared" si="10"/>
        <v>VS-OPC-1PC-0009-BGY-26-DT.png</v>
      </c>
      <c r="AH10" s="6" t="str">
        <f t="shared" si="11"/>
        <v>VS-OPC-1PC-0009-BGY-26-REF-01.png</v>
      </c>
    </row>
    <row r="11" spans="1:35" ht="71.25">
      <c r="A11" s="9">
        <v>10</v>
      </c>
      <c r="B11" t="s">
        <v>35</v>
      </c>
      <c r="C11" s="4" t="str">
        <f>IFERROR(VLOOKUP(B11,'Code Lists'!$A:$B,2,FALSE),"")</f>
        <v>SUT</v>
      </c>
      <c r="D11" t="s">
        <v>36</v>
      </c>
      <c r="E11" t="s">
        <v>289</v>
      </c>
      <c r="F11" s="4" t="str">
        <f>IFERROR(VLOOKUP(E11,'Code Lists'!$D:$E,2,FALSE),"")</f>
        <v>MIC</v>
      </c>
      <c r="G11" t="s">
        <v>212</v>
      </c>
      <c r="H11" s="4" t="str">
        <f>IFERROR(VLOOKUP(G11,'Code Lists'!$G:$H,2,FALSE),"")</f>
        <v>MNT</v>
      </c>
      <c r="I11" t="s">
        <v>321</v>
      </c>
      <c r="J11" s="10">
        <v>2026</v>
      </c>
      <c r="K11" t="s">
        <v>109</v>
      </c>
      <c r="L11" t="s">
        <v>41</v>
      </c>
      <c r="M11" s="11" t="s">
        <v>317</v>
      </c>
      <c r="N11" t="s">
        <v>67</v>
      </c>
      <c r="O11">
        <v>3</v>
      </c>
      <c r="P11">
        <v>998822</v>
      </c>
      <c r="Q11" s="7">
        <f>IF(VedAarnaSKUMaster[[#This Row],[HSN/SAC Code]]=998822,5%,IF(VedAarnaSKUMaster[[#This Row],[HSN/SAC Code]]=998391,18%,IF(VedAarnaSKUMaster[[#This Row],[HSN/SAC Code]]=998723,5%,"")))</f>
        <v>0.05</v>
      </c>
      <c r="R11" s="5" t="str">
        <f t="shared" si="0"/>
        <v>VS-SUT-3PC-0010-MNT-26</v>
      </c>
      <c r="S11" s="5" t="str">
        <f t="shared" si="1"/>
        <v>VS-SUT-3PC-0010-MIC-MNT-M,L,XL-26</v>
      </c>
      <c r="T11" s="11" t="s">
        <v>318</v>
      </c>
      <c r="U11" s="8">
        <f>IF(OR(VedAarnaSKUMaster[[#This Row],[Selling Price]]="",VedAarnaSKUMaster[[#This Row],[Selling Price]]=0),"",CEILING(VedAarnaSKUMaster[[#This Row],[Selling Price]]/(1-20%),100)-1)</f>
        <v>3499</v>
      </c>
      <c r="V11">
        <f t="shared" si="12"/>
        <v>2800</v>
      </c>
      <c r="W11" s="8">
        <v>1400</v>
      </c>
      <c r="X11" t="s">
        <v>80</v>
      </c>
      <c r="Y11" t="s">
        <v>81</v>
      </c>
      <c r="Z11" s="6" t="str">
        <f t="shared" si="3"/>
        <v>VS-SUT-3PC-0010-MNT-26-01-FR.png</v>
      </c>
      <c r="AA11" s="6" t="str">
        <f t="shared" si="4"/>
        <v>VS-SUT-3PC-0010-MNT-26-02-SD.png</v>
      </c>
      <c r="AB11" s="6" t="str">
        <f t="shared" si="5"/>
        <v>VS-SUT-3PC-0010-MNT-26-03-BK.png</v>
      </c>
      <c r="AC11" s="6" t="str">
        <f t="shared" si="6"/>
        <v>VS-SUT-3PC-0010-MNT-26-04-CD.png</v>
      </c>
      <c r="AD11" s="6" t="str">
        <f t="shared" si="7"/>
        <v>VS-SUT-3PC-0010-MNT-26-05-WK.png</v>
      </c>
      <c r="AE11" s="6" t="str">
        <f t="shared" si="8"/>
        <v>VS-SUT-3PC-0010-MNT-26-06-ST.png</v>
      </c>
      <c r="AF11" s="6" t="str">
        <f t="shared" si="9"/>
        <v>VS-SUT-3PC-0010-MNT-26-FB.png</v>
      </c>
      <c r="AG11" s="6" t="str">
        <f t="shared" si="10"/>
        <v>VS-SUT-3PC-0010-MNT-26-DT.png</v>
      </c>
      <c r="AH11" s="6" t="str">
        <f t="shared" si="11"/>
        <v>VS-SUT-3PC-0010-MNT-26-REF-01.png</v>
      </c>
    </row>
    <row r="12" spans="1:35" ht="57">
      <c r="A12" s="9">
        <v>11</v>
      </c>
      <c r="B12" t="s">
        <v>302</v>
      </c>
      <c r="C12" s="4" t="str">
        <f>IFERROR(VLOOKUP(B12,'Code Lists'!$A:$B,2,FALSE),"")</f>
        <v>OPC</v>
      </c>
      <c r="D12" t="s">
        <v>55</v>
      </c>
      <c r="E12" t="s">
        <v>186</v>
      </c>
      <c r="F12" s="4" t="str">
        <f>IFERROR(VLOOKUP(E12,'Code Lists'!$D:$E,2,FALSE),"")</f>
        <v>VLT</v>
      </c>
      <c r="G12" t="s">
        <v>248</v>
      </c>
      <c r="H12" s="4" t="str">
        <f>IFERROR(VLOOKUP(G12,'Code Lists'!$G:$H,2,FALSE),"")</f>
        <v>MLT</v>
      </c>
      <c r="I12" t="s">
        <v>326</v>
      </c>
      <c r="J12" s="10">
        <v>2026</v>
      </c>
      <c r="K12" t="s">
        <v>109</v>
      </c>
      <c r="L12" t="s">
        <v>41</v>
      </c>
      <c r="M12" s="11" t="s">
        <v>319</v>
      </c>
      <c r="N12" t="s">
        <v>67</v>
      </c>
      <c r="O12">
        <v>2</v>
      </c>
      <c r="P12">
        <v>998822</v>
      </c>
      <c r="Q12" s="7">
        <f>IF(VedAarnaSKUMaster[[#This Row],[HSN/SAC Code]]=998822,5%,IF(VedAarnaSKUMaster[[#This Row],[HSN/SAC Code]]=998391,18%,IF(VedAarnaSKUMaster[[#This Row],[HSN/SAC Code]]=998723,5%,"")))</f>
        <v>0.05</v>
      </c>
      <c r="R12" s="5" t="str">
        <f t="shared" si="0"/>
        <v>VS-OPC-1PC-0011-MLT-26</v>
      </c>
      <c r="S12" s="5" t="str">
        <f t="shared" si="1"/>
        <v>VS-OPC-1PC-0011-VLT-MLT-M,L-26</v>
      </c>
      <c r="T12" s="11" t="s">
        <v>320</v>
      </c>
      <c r="U12" s="8">
        <f>IF(OR(VedAarnaSKUMaster[[#This Row],[Selling Price]]="",VedAarnaSKUMaster[[#This Row],[Selling Price]]=0),"",CEILING(VedAarnaSKUMaster[[#This Row],[Selling Price]]/(1-20%),100)-1)</f>
        <v>2899</v>
      </c>
      <c r="V12">
        <f t="shared" si="12"/>
        <v>2300</v>
      </c>
      <c r="W12" s="8">
        <v>1150</v>
      </c>
      <c r="X12" t="s">
        <v>80</v>
      </c>
      <c r="Y12" t="s">
        <v>81</v>
      </c>
      <c r="Z12" s="6" t="str">
        <f t="shared" si="3"/>
        <v>VS-OPC-1PC-0011-MLT-26-01-FR.png</v>
      </c>
      <c r="AA12" s="6" t="str">
        <f t="shared" si="4"/>
        <v>VS-OPC-1PC-0011-MLT-26-02-SD.png</v>
      </c>
      <c r="AB12" s="6" t="str">
        <f t="shared" si="5"/>
        <v>VS-OPC-1PC-0011-MLT-26-03-BK.png</v>
      </c>
      <c r="AC12" s="6" t="str">
        <f t="shared" si="6"/>
        <v>VS-OPC-1PC-0011-MLT-26-04-CD.png</v>
      </c>
      <c r="AD12" s="6" t="str">
        <f t="shared" si="7"/>
        <v>VS-OPC-1PC-0011-MLT-26-05-WK.png</v>
      </c>
      <c r="AE12" s="6" t="str">
        <f t="shared" si="8"/>
        <v>VS-OPC-1PC-0011-MLT-26-06-ST.png</v>
      </c>
      <c r="AF12" s="6" t="str">
        <f t="shared" si="9"/>
        <v>VS-OPC-1PC-0011-MLT-26-FB.png</v>
      </c>
      <c r="AG12" s="6" t="str">
        <f t="shared" si="10"/>
        <v>VS-OPC-1PC-0011-MLT-26-DT.png</v>
      </c>
      <c r="AH12" s="6" t="str">
        <f t="shared" si="11"/>
        <v>VS-OPC-1PC-0011-MLT-26-REF-01.png</v>
      </c>
    </row>
    <row r="13" spans="1:35" ht="57">
      <c r="A13" s="9">
        <v>12</v>
      </c>
      <c r="B13" t="s">
        <v>35</v>
      </c>
      <c r="C13" s="4" t="str">
        <f>IFERROR(VLOOKUP(B13,'Code Lists'!$A:$B,2,FALSE),"")</f>
        <v>SUT</v>
      </c>
      <c r="D13" t="s">
        <v>64</v>
      </c>
      <c r="E13" t="s">
        <v>333</v>
      </c>
      <c r="F13" s="4" t="str">
        <f>IFERROR(VLOOKUP(E13,'Code Lists'!$D:$E,2,FALSE),"")</f>
        <v>CTD</v>
      </c>
      <c r="G13" t="s">
        <v>328</v>
      </c>
      <c r="H13" s="4" t="str">
        <f>IFERROR(VLOOKUP(G13,'Code Lists'!$G:$H,2,FALSE),"")</f>
        <v>PYL</v>
      </c>
      <c r="I13" t="s">
        <v>330</v>
      </c>
      <c r="J13" s="10">
        <v>2026</v>
      </c>
      <c r="K13" t="s">
        <v>40</v>
      </c>
      <c r="L13" t="s">
        <v>66</v>
      </c>
      <c r="M13" s="11" t="s">
        <v>331</v>
      </c>
      <c r="N13" t="s">
        <v>42</v>
      </c>
      <c r="O13">
        <v>4</v>
      </c>
      <c r="P13">
        <v>998822</v>
      </c>
      <c r="Q13" s="7">
        <f>IF(VedAarnaSKUMaster[[#This Row],[HSN/SAC Code]]=998822,5%,IF(VedAarnaSKUMaster[[#This Row],[HSN/SAC Code]]=998391,18%,IF(VedAarnaSKUMaster[[#This Row],[HSN/SAC Code]]=998723,5%,"")))</f>
        <v>0.05</v>
      </c>
      <c r="R13" s="5" t="str">
        <f t="shared" si="0"/>
        <v>VS-SUT-2PC-0012-PYL-26</v>
      </c>
      <c r="S13" s="5" t="str">
        <f t="shared" si="1"/>
        <v>VS-SUT-2PC-0012-CTD-PYL-M,L,XL,2XL-26</v>
      </c>
      <c r="T13" s="11" t="s">
        <v>332</v>
      </c>
      <c r="U13" s="8">
        <f>IF(OR(VedAarnaSKUMaster[[#This Row],[Selling Price]]="",VedAarnaSKUMaster[[#This Row],[Selling Price]]=0),"",CEILING(VedAarnaSKUMaster[[#This Row],[Selling Price]]/(1-20%),100)-1)</f>
        <v>1799</v>
      </c>
      <c r="V13">
        <f t="shared" si="12"/>
        <v>1400</v>
      </c>
      <c r="W13" s="8">
        <v>700</v>
      </c>
      <c r="X13" t="s">
        <v>80</v>
      </c>
      <c r="Y13" t="s">
        <v>81</v>
      </c>
      <c r="Z13" s="6" t="str">
        <f t="shared" si="3"/>
        <v>VS-SUT-2PC-0012-PYL-26-01-FR.png</v>
      </c>
      <c r="AA13" s="6" t="str">
        <f t="shared" si="4"/>
        <v>VS-SUT-2PC-0012-PYL-26-02-SD.png</v>
      </c>
      <c r="AB13" s="6" t="str">
        <f t="shared" si="5"/>
        <v>VS-SUT-2PC-0012-PYL-26-03-BK.png</v>
      </c>
      <c r="AC13" s="6" t="str">
        <f t="shared" si="6"/>
        <v>VS-SUT-2PC-0012-PYL-26-04-CD.png</v>
      </c>
      <c r="AD13" s="6" t="str">
        <f t="shared" si="7"/>
        <v>VS-SUT-2PC-0012-PYL-26-05-WK.png</v>
      </c>
      <c r="AE13" s="6" t="str">
        <f t="shared" si="8"/>
        <v>VS-SUT-2PC-0012-PYL-26-06-ST.png</v>
      </c>
      <c r="AF13" s="6" t="str">
        <f t="shared" si="9"/>
        <v>VS-SUT-2PC-0012-PYL-26-FB.png</v>
      </c>
      <c r="AG13" s="6" t="str">
        <f t="shared" si="10"/>
        <v>VS-SUT-2PC-0012-PYL-26-DT.png</v>
      </c>
      <c r="AH13" s="6" t="str">
        <f t="shared" si="11"/>
        <v>VS-SUT-2PC-0012-PYL-26-REF-01.png</v>
      </c>
    </row>
    <row r="14" spans="1:35" ht="71.25">
      <c r="A14" s="9">
        <v>13</v>
      </c>
      <c r="B14" t="s">
        <v>35</v>
      </c>
      <c r="C14" s="4" t="str">
        <f>IFERROR(VLOOKUP(B14,'Code Lists'!$A:$B,2,FALSE),"")</f>
        <v>SUT</v>
      </c>
      <c r="D14" t="s">
        <v>64</v>
      </c>
      <c r="E14" t="s">
        <v>333</v>
      </c>
      <c r="F14" s="4" t="str">
        <f>IFERROR(VLOOKUP(E14,'Code Lists'!$D:$E,2,FALSE),"")</f>
        <v>CTD</v>
      </c>
      <c r="G14" t="s">
        <v>231</v>
      </c>
      <c r="H14" s="4" t="str">
        <f>IFERROR(VLOOKUP(G14,'Code Lists'!$G:$H,2,FALSE),"")</f>
        <v>SKY</v>
      </c>
      <c r="I14" t="s">
        <v>330</v>
      </c>
      <c r="J14" s="10">
        <v>2026</v>
      </c>
      <c r="K14" t="s">
        <v>40</v>
      </c>
      <c r="L14" t="s">
        <v>66</v>
      </c>
      <c r="M14" s="11" t="s">
        <v>334</v>
      </c>
      <c r="N14" t="s">
        <v>42</v>
      </c>
      <c r="O14">
        <v>4</v>
      </c>
      <c r="P14">
        <v>998822</v>
      </c>
      <c r="Q14" s="7">
        <f>IF(VedAarnaSKUMaster[[#This Row],[HSN/SAC Code]]=998822,5%,IF(VedAarnaSKUMaster[[#This Row],[HSN/SAC Code]]=998391,18%,IF(VedAarnaSKUMaster[[#This Row],[HSN/SAC Code]]=998723,5%,"")))</f>
        <v>0.05</v>
      </c>
      <c r="R14" s="5" t="str">
        <f t="shared" si="0"/>
        <v>VS-SUT-2PC-0013-SKY-26</v>
      </c>
      <c r="S14" s="5" t="str">
        <f t="shared" si="1"/>
        <v>VS-SUT-2PC-0013-CTD-SKY-M,L,XL,2XL-26</v>
      </c>
      <c r="T14" s="11" t="s">
        <v>335</v>
      </c>
      <c r="U14" s="8">
        <f>IF(OR(VedAarnaSKUMaster[[#This Row],[Selling Price]]="",VedAarnaSKUMaster[[#This Row],[Selling Price]]=0),"",CEILING(VedAarnaSKUMaster[[#This Row],[Selling Price]]/(1-20%),100)-1)</f>
        <v>1899</v>
      </c>
      <c r="V14">
        <f t="shared" si="12"/>
        <v>1500</v>
      </c>
      <c r="W14" s="8">
        <v>730</v>
      </c>
      <c r="X14" t="s">
        <v>80</v>
      </c>
      <c r="Y14" t="s">
        <v>81</v>
      </c>
      <c r="Z14" s="6" t="str">
        <f t="shared" si="3"/>
        <v>VS-SUT-2PC-0013-SKY-26-01-FR.png</v>
      </c>
      <c r="AA14" s="6" t="str">
        <f t="shared" si="4"/>
        <v>VS-SUT-2PC-0013-SKY-26-02-SD.png</v>
      </c>
      <c r="AB14" s="6" t="str">
        <f t="shared" si="5"/>
        <v>VS-SUT-2PC-0013-SKY-26-03-BK.png</v>
      </c>
      <c r="AC14" s="6" t="str">
        <f t="shared" si="6"/>
        <v>VS-SUT-2PC-0013-SKY-26-04-CD.png</v>
      </c>
      <c r="AD14" s="6" t="str">
        <f t="shared" si="7"/>
        <v>VS-SUT-2PC-0013-SKY-26-05-WK.png</v>
      </c>
      <c r="AE14" s="6" t="str">
        <f t="shared" si="8"/>
        <v>VS-SUT-2PC-0013-SKY-26-06-ST.png</v>
      </c>
      <c r="AF14" s="6" t="str">
        <f t="shared" si="9"/>
        <v>VS-SUT-2PC-0013-SKY-26-FB.png</v>
      </c>
      <c r="AG14" s="6" t="str">
        <f t="shared" si="10"/>
        <v>VS-SUT-2PC-0013-SKY-26-DT.png</v>
      </c>
      <c r="AH14" s="6" t="str">
        <f t="shared" si="11"/>
        <v>VS-SUT-2PC-0013-SKY-26-REF-01.png</v>
      </c>
    </row>
    <row r="15" spans="1:35" ht="99.75">
      <c r="A15" s="9">
        <v>14</v>
      </c>
      <c r="B15" t="s">
        <v>35</v>
      </c>
      <c r="C15" s="4" t="str">
        <f>IFERROR(VLOOKUP(B15,'Code Lists'!$A:$B,2,FALSE),"")</f>
        <v>SUT</v>
      </c>
      <c r="D15" t="s">
        <v>64</v>
      </c>
      <c r="E15" t="s">
        <v>74</v>
      </c>
      <c r="F15" s="4" t="str">
        <f>IFERROR(VLOOKUP(E15,'Code Lists'!$D:$E,2,FALSE),"")</f>
        <v>RYN</v>
      </c>
      <c r="G15" t="s">
        <v>194</v>
      </c>
      <c r="H15" s="4" t="str">
        <f>IFERROR(VLOOKUP(G15,'Code Lists'!$G:$H,2,FALSE),"")</f>
        <v>MST</v>
      </c>
      <c r="I15" t="s">
        <v>330</v>
      </c>
      <c r="J15" s="10">
        <v>2026</v>
      </c>
      <c r="K15" t="s">
        <v>118</v>
      </c>
      <c r="L15" t="s">
        <v>66</v>
      </c>
      <c r="M15" s="11" t="s">
        <v>336</v>
      </c>
      <c r="N15" t="s">
        <v>42</v>
      </c>
      <c r="O15">
        <v>4</v>
      </c>
      <c r="P15">
        <v>998822</v>
      </c>
      <c r="Q15" s="7">
        <f>IF(VedAarnaSKUMaster[[#This Row],[HSN/SAC Code]]=998822,5%,IF(VedAarnaSKUMaster[[#This Row],[HSN/SAC Code]]=998391,18%,IF(VedAarnaSKUMaster[[#This Row],[HSN/SAC Code]]=998723,5%,"")))</f>
        <v>0.05</v>
      </c>
      <c r="R15" s="5" t="str">
        <f t="shared" si="0"/>
        <v>VS-SUT-2PC-0014-MST-26</v>
      </c>
      <c r="S15" s="5" t="str">
        <f t="shared" si="1"/>
        <v>VS-SUT-2PC-0014-RYN-MST-M,L,XL,2XL-26</v>
      </c>
      <c r="T15" s="11" t="s">
        <v>337</v>
      </c>
      <c r="U15" s="8">
        <f>IF(OR(VedAarnaSKUMaster[[#This Row],[Selling Price]]="",VedAarnaSKUMaster[[#This Row],[Selling Price]]=0),"",CEILING(VedAarnaSKUMaster[[#This Row],[Selling Price]]/(1-20%),100)-1)</f>
        <v>1499</v>
      </c>
      <c r="V15">
        <f t="shared" si="12"/>
        <v>1200</v>
      </c>
      <c r="W15" s="8">
        <v>610</v>
      </c>
      <c r="X15" t="s">
        <v>80</v>
      </c>
      <c r="Y15" t="s">
        <v>81</v>
      </c>
      <c r="Z15" s="6" t="str">
        <f t="shared" si="3"/>
        <v>VS-SUT-2PC-0014-MST-26-01-FR.png</v>
      </c>
      <c r="AA15" s="6" t="str">
        <f t="shared" si="4"/>
        <v>VS-SUT-2PC-0014-MST-26-02-SD.png</v>
      </c>
      <c r="AB15" s="6" t="str">
        <f t="shared" si="5"/>
        <v>VS-SUT-2PC-0014-MST-26-03-BK.png</v>
      </c>
      <c r="AC15" s="6" t="str">
        <f t="shared" si="6"/>
        <v>VS-SUT-2PC-0014-MST-26-04-CD.png</v>
      </c>
      <c r="AD15" s="6" t="str">
        <f t="shared" si="7"/>
        <v>VS-SUT-2PC-0014-MST-26-05-WK.png</v>
      </c>
      <c r="AE15" s="6" t="str">
        <f t="shared" si="8"/>
        <v>VS-SUT-2PC-0014-MST-26-06-ST.png</v>
      </c>
      <c r="AF15" s="6" t="str">
        <f t="shared" si="9"/>
        <v>VS-SUT-2PC-0014-MST-26-FB.png</v>
      </c>
      <c r="AG15" s="6" t="str">
        <f t="shared" si="10"/>
        <v>VS-SUT-2PC-0014-MST-26-DT.png</v>
      </c>
      <c r="AH15" s="6" t="str">
        <f t="shared" si="11"/>
        <v>VS-SUT-2PC-0014-MST-26-REF-01.png</v>
      </c>
    </row>
    <row r="16" spans="1:35" ht="128.25">
      <c r="A16" s="9">
        <v>15</v>
      </c>
      <c r="B16" t="s">
        <v>35</v>
      </c>
      <c r="C16" s="4" t="str">
        <f>IFERROR(VLOOKUP(B16,'Code Lists'!$A:$B,2,FALSE),"")</f>
        <v>SUT</v>
      </c>
      <c r="D16" t="s">
        <v>64</v>
      </c>
      <c r="E16" t="s">
        <v>338</v>
      </c>
      <c r="F16" s="4" t="str">
        <f>IFERROR(VLOOKUP(E16,'Code Lists'!$D:$E,2,FALSE),"")</f>
        <v>SNT</v>
      </c>
      <c r="G16" t="s">
        <v>194</v>
      </c>
      <c r="H16" s="4" t="str">
        <f>IFERROR(VLOOKUP(G16,'Code Lists'!$G:$H,2,FALSE),"")</f>
        <v>MST</v>
      </c>
      <c r="I16" t="s">
        <v>330</v>
      </c>
      <c r="J16" s="10">
        <v>2026</v>
      </c>
      <c r="K16" t="s">
        <v>40</v>
      </c>
      <c r="L16" t="s">
        <v>41</v>
      </c>
      <c r="M16" s="11" t="s">
        <v>340</v>
      </c>
      <c r="N16" t="s">
        <v>42</v>
      </c>
      <c r="O16">
        <v>4</v>
      </c>
      <c r="P16">
        <v>998822</v>
      </c>
      <c r="Q16" s="7">
        <f>IF(VedAarnaSKUMaster[[#This Row],[HSN/SAC Code]]=998822,5%,IF(VedAarnaSKUMaster[[#This Row],[HSN/SAC Code]]=998391,18%,IF(VedAarnaSKUMaster[[#This Row],[HSN/SAC Code]]=998723,5%,"")))</f>
        <v>0.05</v>
      </c>
      <c r="R16" s="5" t="str">
        <f t="shared" si="0"/>
        <v>VS-SUT-2PC-0015-MST-26</v>
      </c>
      <c r="S16" s="5" t="str">
        <f t="shared" si="1"/>
        <v>VS-SUT-2PC-0015-SNT-MST-M,L,XL,2XL-26</v>
      </c>
      <c r="T16" s="11" t="s">
        <v>341</v>
      </c>
      <c r="U16" s="8">
        <f>IF(OR(VedAarnaSKUMaster[[#This Row],[Selling Price]]="",VedAarnaSKUMaster[[#This Row],[Selling Price]]=0),"",CEILING(VedAarnaSKUMaster[[#This Row],[Selling Price]]/(1-20%),100)-1)</f>
        <v>2499</v>
      </c>
      <c r="V16">
        <f t="shared" si="12"/>
        <v>2000</v>
      </c>
      <c r="W16" s="8">
        <v>1000</v>
      </c>
      <c r="X16" t="s">
        <v>80</v>
      </c>
      <c r="Y16" t="s">
        <v>81</v>
      </c>
      <c r="Z16" s="6" t="str">
        <f t="shared" si="3"/>
        <v>VS-SUT-2PC-0015-MST-26-01-FR.png</v>
      </c>
      <c r="AA16" s="6" t="str">
        <f t="shared" si="4"/>
        <v>VS-SUT-2PC-0015-MST-26-02-SD.png</v>
      </c>
      <c r="AB16" s="6" t="str">
        <f t="shared" si="5"/>
        <v>VS-SUT-2PC-0015-MST-26-03-BK.png</v>
      </c>
      <c r="AC16" s="6" t="str">
        <f t="shared" si="6"/>
        <v>VS-SUT-2PC-0015-MST-26-04-CD.png</v>
      </c>
      <c r="AD16" s="6" t="str">
        <f t="shared" si="7"/>
        <v>VS-SUT-2PC-0015-MST-26-05-WK.png</v>
      </c>
      <c r="AE16" s="6" t="str">
        <f t="shared" si="8"/>
        <v>VS-SUT-2PC-0015-MST-26-06-ST.png</v>
      </c>
      <c r="AF16" s="6" t="str">
        <f t="shared" si="9"/>
        <v>VS-SUT-2PC-0015-MST-26-FB.png</v>
      </c>
      <c r="AG16" s="6" t="str">
        <f t="shared" si="10"/>
        <v>VS-SUT-2PC-0015-MST-26-DT.png</v>
      </c>
      <c r="AH16" s="6" t="str">
        <f t="shared" si="11"/>
        <v>VS-SUT-2PC-0015-MST-26-REF-01.png</v>
      </c>
    </row>
    <row r="17" spans="1:34" ht="128.25">
      <c r="A17" s="9">
        <v>16</v>
      </c>
      <c r="B17" t="s">
        <v>35</v>
      </c>
      <c r="C17" s="4" t="str">
        <f>IFERROR(VLOOKUP(B17,'Code Lists'!$A:$B,2,FALSE),"")</f>
        <v>SUT</v>
      </c>
      <c r="D17" t="s">
        <v>64</v>
      </c>
      <c r="E17" t="s">
        <v>338</v>
      </c>
      <c r="F17" s="4" t="str">
        <f>IFERROR(VLOOKUP(E17,'Code Lists'!$D:$E,2,FALSE),"")</f>
        <v>SNT</v>
      </c>
      <c r="G17" t="s">
        <v>223</v>
      </c>
      <c r="H17" s="4" t="str">
        <f>IFERROR(VLOOKUP(G17,'Code Lists'!$G:$H,2,FALSE),"")</f>
        <v>BLU</v>
      </c>
      <c r="I17" t="s">
        <v>330</v>
      </c>
      <c r="J17" s="10">
        <v>2026</v>
      </c>
      <c r="K17" t="s">
        <v>40</v>
      </c>
      <c r="L17" t="s">
        <v>66</v>
      </c>
      <c r="M17" s="11" t="s">
        <v>342</v>
      </c>
      <c r="N17" t="s">
        <v>42</v>
      </c>
      <c r="O17">
        <v>4</v>
      </c>
      <c r="P17">
        <v>998822</v>
      </c>
      <c r="Q17" s="7">
        <f>IF(VedAarnaSKUMaster[[#This Row],[HSN/SAC Code]]=998822,5%,IF(VedAarnaSKUMaster[[#This Row],[HSN/SAC Code]]=998391,18%,IF(VedAarnaSKUMaster[[#This Row],[HSN/SAC Code]]=998723,5%,"")))</f>
        <v>0.05</v>
      </c>
      <c r="R17" s="5" t="str">
        <f t="shared" si="0"/>
        <v>VS-SUT-2PC-0016-BLU-26</v>
      </c>
      <c r="S17" s="5" t="str">
        <f t="shared" si="1"/>
        <v>VS-SUT-2PC-0016-SNT-BLU-M,L,XL,2XL-26</v>
      </c>
      <c r="T17" s="11" t="s">
        <v>343</v>
      </c>
      <c r="U17" s="8">
        <f>IF(OR(VedAarnaSKUMaster[[#This Row],[Selling Price]]="",VedAarnaSKUMaster[[#This Row],[Selling Price]]=0),"",CEILING(VedAarnaSKUMaster[[#This Row],[Selling Price]]/(1-20%),100)-1)</f>
        <v>2299</v>
      </c>
      <c r="V17">
        <f t="shared" si="12"/>
        <v>1800</v>
      </c>
      <c r="W17" s="8">
        <v>900</v>
      </c>
      <c r="X17" t="s">
        <v>80</v>
      </c>
      <c r="Y17" t="s">
        <v>81</v>
      </c>
      <c r="Z17" s="6" t="str">
        <f t="shared" si="3"/>
        <v>VS-SUT-2PC-0016-BLU-26-01-FR.png</v>
      </c>
      <c r="AA17" s="6" t="str">
        <f t="shared" si="4"/>
        <v>VS-SUT-2PC-0016-BLU-26-02-SD.png</v>
      </c>
      <c r="AB17" s="6" t="str">
        <f t="shared" si="5"/>
        <v>VS-SUT-2PC-0016-BLU-26-03-BK.png</v>
      </c>
      <c r="AC17" s="6" t="str">
        <f t="shared" si="6"/>
        <v>VS-SUT-2PC-0016-BLU-26-04-CD.png</v>
      </c>
      <c r="AD17" s="6" t="str">
        <f t="shared" si="7"/>
        <v>VS-SUT-2PC-0016-BLU-26-05-WK.png</v>
      </c>
      <c r="AE17" s="6" t="str">
        <f t="shared" si="8"/>
        <v>VS-SUT-2PC-0016-BLU-26-06-ST.png</v>
      </c>
      <c r="AF17" s="6" t="str">
        <f t="shared" si="9"/>
        <v>VS-SUT-2PC-0016-BLU-26-FB.png</v>
      </c>
      <c r="AG17" s="6" t="str">
        <f t="shared" si="10"/>
        <v>VS-SUT-2PC-0016-BLU-26-DT.png</v>
      </c>
      <c r="AH17" s="6" t="str">
        <f t="shared" si="11"/>
        <v>VS-SUT-2PC-0016-BLU-26-REF-01.png</v>
      </c>
    </row>
    <row r="18" spans="1:34" ht="128.25">
      <c r="A18" s="9">
        <v>17</v>
      </c>
      <c r="B18" t="s">
        <v>84</v>
      </c>
      <c r="C18" s="4" t="str">
        <f>IFERROR(VLOOKUP(B18,'Code Lists'!$A:$B,2,FALSE),"")</f>
        <v>DRS</v>
      </c>
      <c r="D18" t="s">
        <v>55</v>
      </c>
      <c r="E18" t="s">
        <v>50</v>
      </c>
      <c r="F18" s="4" t="str">
        <f>IFERROR(VLOOKUP(E18,'Code Lists'!$D:$E,2,FALSE),"")</f>
        <v>CTN</v>
      </c>
      <c r="G18" t="s">
        <v>240</v>
      </c>
      <c r="H18" s="4" t="str">
        <f>IFERROR(VLOOKUP(G18,'Code Lists'!$G:$H,2,FALSE),"")</f>
        <v>GRY</v>
      </c>
      <c r="I18" t="s">
        <v>347</v>
      </c>
      <c r="J18" s="10">
        <v>2026</v>
      </c>
      <c r="K18" t="s">
        <v>118</v>
      </c>
      <c r="L18" t="s">
        <v>41</v>
      </c>
      <c r="M18" s="11" t="s">
        <v>344</v>
      </c>
      <c r="N18" t="s">
        <v>42</v>
      </c>
      <c r="O18">
        <v>1</v>
      </c>
      <c r="P18">
        <v>998822</v>
      </c>
      <c r="Q18" s="7">
        <f>IF(VedAarnaSKUMaster[[#This Row],[HSN/SAC Code]]=998822,5%,IF(VedAarnaSKUMaster[[#This Row],[HSN/SAC Code]]=998391,18%,IF(VedAarnaSKUMaster[[#This Row],[HSN/SAC Code]]=998723,5%,"")))</f>
        <v>0.05</v>
      </c>
      <c r="R18" s="5" t="str">
        <f t="shared" si="0"/>
        <v>VS-DRS-1PC-0017-GRY-26</v>
      </c>
      <c r="S18" s="5" t="str">
        <f t="shared" si="1"/>
        <v>VS-DRS-1PC-0017-CTN-GRY-L,XL,2XL-26</v>
      </c>
      <c r="T18" s="11" t="s">
        <v>345</v>
      </c>
      <c r="U18" s="8">
        <f>IF(OR(VedAarnaSKUMaster[[#This Row],[Selling Price]]="",VedAarnaSKUMaster[[#This Row],[Selling Price]]=0),"",CEILING(VedAarnaSKUMaster[[#This Row],[Selling Price]]/(1-20%),100)-1)</f>
        <v>1199</v>
      </c>
      <c r="V18">
        <f t="shared" si="12"/>
        <v>900</v>
      </c>
      <c r="W18" s="8">
        <v>425</v>
      </c>
      <c r="X18" t="s">
        <v>80</v>
      </c>
      <c r="Y18" t="s">
        <v>81</v>
      </c>
      <c r="Z18" s="6" t="str">
        <f t="shared" si="3"/>
        <v>VS-DRS-1PC-0017-GRY-26-01-FR.png</v>
      </c>
      <c r="AA18" s="6" t="str">
        <f t="shared" si="4"/>
        <v>VS-DRS-1PC-0017-GRY-26-02-SD.png</v>
      </c>
      <c r="AB18" s="6" t="str">
        <f t="shared" si="5"/>
        <v>VS-DRS-1PC-0017-GRY-26-03-BK.png</v>
      </c>
      <c r="AC18" s="6" t="str">
        <f t="shared" si="6"/>
        <v>VS-DRS-1PC-0017-GRY-26-04-CD.png</v>
      </c>
      <c r="AD18" s="6" t="str">
        <f t="shared" si="7"/>
        <v>VS-DRS-1PC-0017-GRY-26-05-WK.png</v>
      </c>
      <c r="AE18" s="6" t="str">
        <f t="shared" si="8"/>
        <v>VS-DRS-1PC-0017-GRY-26-06-ST.png</v>
      </c>
      <c r="AF18" s="6" t="str">
        <f t="shared" si="9"/>
        <v>VS-DRS-1PC-0017-GRY-26-FB.png</v>
      </c>
      <c r="AG18" s="6" t="str">
        <f t="shared" si="10"/>
        <v>VS-DRS-1PC-0017-GRY-26-DT.png</v>
      </c>
      <c r="AH18" s="6" t="str">
        <f t="shared" si="11"/>
        <v>VS-DRS-1PC-0017-GRY-26-REF-01.png</v>
      </c>
    </row>
    <row r="19" spans="1:34" ht="142.5">
      <c r="A19" s="9">
        <v>18</v>
      </c>
      <c r="B19" t="s">
        <v>129</v>
      </c>
      <c r="C19" s="4" t="str">
        <f>IFERROR(VLOOKUP(B19,'Code Lists'!$A:$B,2,FALSE),"")</f>
        <v>CRD</v>
      </c>
      <c r="D19" t="s">
        <v>64</v>
      </c>
      <c r="E19" t="s">
        <v>74</v>
      </c>
      <c r="F19" s="4" t="str">
        <f>IFERROR(VLOOKUP(E19,'Code Lists'!$D:$E,2,FALSE),"")</f>
        <v>RYN</v>
      </c>
      <c r="G19" t="s">
        <v>133</v>
      </c>
      <c r="H19" s="4" t="str">
        <f>IFERROR(VLOOKUP(G19,'Code Lists'!$G:$H,2,FALSE),"")</f>
        <v>PNK</v>
      </c>
      <c r="I19" t="s">
        <v>330</v>
      </c>
      <c r="J19" s="10">
        <v>2026</v>
      </c>
      <c r="K19" t="s">
        <v>109</v>
      </c>
      <c r="L19" t="s">
        <v>41</v>
      </c>
      <c r="M19" s="11" t="s">
        <v>346</v>
      </c>
      <c r="N19" t="s">
        <v>42</v>
      </c>
      <c r="O19">
        <v>4</v>
      </c>
      <c r="P19">
        <v>998822</v>
      </c>
      <c r="Q19" s="7">
        <f>IF(VedAarnaSKUMaster[[#This Row],[HSN/SAC Code]]=998822,5%,IF(VedAarnaSKUMaster[[#This Row],[HSN/SAC Code]]=998391,18%,IF(VedAarnaSKUMaster[[#This Row],[HSN/SAC Code]]=998723,5%,"")))</f>
        <v>0.05</v>
      </c>
      <c r="R19" s="5" t="str">
        <f t="shared" si="0"/>
        <v>VS-CRD-2PC-0018-PNK-26</v>
      </c>
      <c r="S19" s="5" t="str">
        <f t="shared" si="1"/>
        <v>VS-CRD-2PC-0018-RYN-PNK-M,L,XL,2XL-26</v>
      </c>
      <c r="T19" s="11" t="s">
        <v>348</v>
      </c>
      <c r="U19" s="8">
        <f>IF(OR(VedAarnaSKUMaster[[#This Row],[Selling Price]]="",VedAarnaSKUMaster[[#This Row],[Selling Price]]=0),"",CEILING(VedAarnaSKUMaster[[#This Row],[Selling Price]]/(1-20%),100)-1)</f>
        <v>1699</v>
      </c>
      <c r="V19">
        <f t="shared" si="12"/>
        <v>1300</v>
      </c>
      <c r="W19" s="8">
        <v>649</v>
      </c>
      <c r="X19" t="s">
        <v>80</v>
      </c>
      <c r="Y19" t="s">
        <v>81</v>
      </c>
      <c r="Z19" s="6" t="str">
        <f t="shared" si="3"/>
        <v>VS-CRD-2PC-0018-PNK-26-01-FR.png</v>
      </c>
      <c r="AA19" s="6" t="str">
        <f t="shared" si="4"/>
        <v>VS-CRD-2PC-0018-PNK-26-02-SD.png</v>
      </c>
      <c r="AB19" s="6" t="str">
        <f t="shared" si="5"/>
        <v>VS-CRD-2PC-0018-PNK-26-03-BK.png</v>
      </c>
      <c r="AC19" s="6" t="str">
        <f t="shared" si="6"/>
        <v>VS-CRD-2PC-0018-PNK-26-04-CD.png</v>
      </c>
      <c r="AD19" s="6" t="str">
        <f t="shared" si="7"/>
        <v>VS-CRD-2PC-0018-PNK-26-05-WK.png</v>
      </c>
      <c r="AE19" s="6" t="str">
        <f t="shared" si="8"/>
        <v>VS-CRD-2PC-0018-PNK-26-06-ST.png</v>
      </c>
      <c r="AF19" s="6" t="str">
        <f t="shared" si="9"/>
        <v>VS-CRD-2PC-0018-PNK-26-FB.png</v>
      </c>
      <c r="AG19" s="6" t="str">
        <f t="shared" si="10"/>
        <v>VS-CRD-2PC-0018-PNK-26-DT.png</v>
      </c>
      <c r="AH19" s="6" t="str">
        <f t="shared" si="11"/>
        <v>VS-CRD-2PC-0018-PNK-26-REF-01.png</v>
      </c>
    </row>
    <row r="20" spans="1:34" ht="142.5">
      <c r="A20" s="9">
        <v>19</v>
      </c>
      <c r="B20" t="s">
        <v>35</v>
      </c>
      <c r="C20" s="4" t="str">
        <f>IFERROR(VLOOKUP(B20,'Code Lists'!$A:$B,2,FALSE),"")</f>
        <v>SUT</v>
      </c>
      <c r="D20" t="s">
        <v>64</v>
      </c>
      <c r="E20" t="s">
        <v>50</v>
      </c>
      <c r="F20" s="4" t="str">
        <f>IFERROR(VLOOKUP(E20,'Code Lists'!$D:$E,2,FALSE),"")</f>
        <v>CTN</v>
      </c>
      <c r="G20" t="s">
        <v>231</v>
      </c>
      <c r="H20" s="4" t="str">
        <f>IFERROR(VLOOKUP(G20,'Code Lists'!$G:$H,2,FALSE),"")</f>
        <v>SKY</v>
      </c>
      <c r="I20" t="s">
        <v>330</v>
      </c>
      <c r="J20" s="10">
        <v>2026</v>
      </c>
      <c r="K20" t="s">
        <v>40</v>
      </c>
      <c r="L20" t="s">
        <v>66</v>
      </c>
      <c r="M20" s="11" t="s">
        <v>349</v>
      </c>
      <c r="N20" t="s">
        <v>42</v>
      </c>
      <c r="O20">
        <v>3</v>
      </c>
      <c r="P20">
        <v>998822</v>
      </c>
      <c r="Q20" s="7">
        <f>IF(VedAarnaSKUMaster[[#This Row],[HSN/SAC Code]]=998822,5%,IF(VedAarnaSKUMaster[[#This Row],[HSN/SAC Code]]=998391,18%,IF(VedAarnaSKUMaster[[#This Row],[HSN/SAC Code]]=998723,5%,"")))</f>
        <v>0.05</v>
      </c>
      <c r="R20" s="5" t="str">
        <f t="shared" si="0"/>
        <v>VS-SUT-2PC-0019-SKY-26</v>
      </c>
      <c r="S20" s="5" t="str">
        <f t="shared" si="1"/>
        <v>VS-SUT-2PC-0019-CTN-SKY-M,L,XL,2XL-26</v>
      </c>
      <c r="T20" s="11" t="s">
        <v>350</v>
      </c>
      <c r="U20" s="8">
        <f>IF(OR(VedAarnaSKUMaster[[#This Row],[Selling Price]]="",VedAarnaSKUMaster[[#This Row],[Selling Price]]=0),"",CEILING(VedAarnaSKUMaster[[#This Row],[Selling Price]]/(1-20%),100)-1)</f>
        <v>2299</v>
      </c>
      <c r="V20">
        <f t="shared" si="12"/>
        <v>1800</v>
      </c>
      <c r="W20" s="8">
        <v>900</v>
      </c>
      <c r="X20" t="s">
        <v>80</v>
      </c>
      <c r="Y20" t="s">
        <v>81</v>
      </c>
      <c r="Z20" s="6" t="str">
        <f t="shared" si="3"/>
        <v>VS-SUT-2PC-0019-SKY-26-01-FR.png</v>
      </c>
      <c r="AA20" s="6" t="str">
        <f t="shared" si="4"/>
        <v>VS-SUT-2PC-0019-SKY-26-02-SD.png</v>
      </c>
      <c r="AB20" s="6" t="str">
        <f t="shared" si="5"/>
        <v>VS-SUT-2PC-0019-SKY-26-03-BK.png</v>
      </c>
      <c r="AC20" s="6" t="str">
        <f t="shared" si="6"/>
        <v>VS-SUT-2PC-0019-SKY-26-04-CD.png</v>
      </c>
      <c r="AD20" s="6" t="str">
        <f t="shared" si="7"/>
        <v>VS-SUT-2PC-0019-SKY-26-05-WK.png</v>
      </c>
      <c r="AE20" s="6" t="str">
        <f t="shared" si="8"/>
        <v>VS-SUT-2PC-0019-SKY-26-06-ST.png</v>
      </c>
      <c r="AF20" s="6" t="str">
        <f t="shared" si="9"/>
        <v>VS-SUT-2PC-0019-SKY-26-FB.png</v>
      </c>
      <c r="AG20" s="6" t="str">
        <f t="shared" si="10"/>
        <v>VS-SUT-2PC-0019-SKY-26-DT.png</v>
      </c>
      <c r="AH20" s="6" t="str">
        <f t="shared" si="11"/>
        <v>VS-SUT-2PC-0019-SKY-26-REF-01.png</v>
      </c>
    </row>
    <row r="21" spans="1:34" ht="171">
      <c r="A21" s="9">
        <v>20</v>
      </c>
      <c r="B21" t="s">
        <v>35</v>
      </c>
      <c r="C21" s="4" t="str">
        <f>IFERROR(VLOOKUP(B21,'Code Lists'!$A:$B,2,FALSE),"")</f>
        <v>SUT</v>
      </c>
      <c r="D21" t="s">
        <v>36</v>
      </c>
      <c r="E21" t="s">
        <v>338</v>
      </c>
      <c r="F21" s="4" t="str">
        <f>IFERROR(VLOOKUP(E21,'Code Lists'!$D:$E,2,FALSE),"")</f>
        <v>SNT</v>
      </c>
      <c r="G21" t="s">
        <v>160</v>
      </c>
      <c r="H21" s="4" t="str">
        <f>IFERROR(VLOOKUP(G21,'Code Lists'!$G:$H,2,FALSE),"")</f>
        <v>RNP</v>
      </c>
      <c r="I21" t="s">
        <v>330</v>
      </c>
      <c r="J21" s="10">
        <v>2026</v>
      </c>
      <c r="K21" t="s">
        <v>351</v>
      </c>
      <c r="L21" t="s">
        <v>66</v>
      </c>
      <c r="M21" s="11" t="s">
        <v>352</v>
      </c>
      <c r="N21" t="s">
        <v>42</v>
      </c>
      <c r="O21">
        <v>4</v>
      </c>
      <c r="P21">
        <v>998822</v>
      </c>
      <c r="Q21" s="7">
        <f>IF(VedAarnaSKUMaster[[#This Row],[HSN/SAC Code]]=998822,5%,IF(VedAarnaSKUMaster[[#This Row],[HSN/SAC Code]]=998391,18%,IF(VedAarnaSKUMaster[[#This Row],[HSN/SAC Code]]=998723,5%,"")))</f>
        <v>0.05</v>
      </c>
      <c r="R21" s="5" t="str">
        <f t="shared" si="0"/>
        <v>VS-SUT-3PC-0020-RNP-26</v>
      </c>
      <c r="S21" s="5" t="str">
        <f t="shared" si="1"/>
        <v>VS-SUT-3PC-0020-SNT-RNP-M,L,XL,2XL-26</v>
      </c>
      <c r="T21" s="11" t="s">
        <v>353</v>
      </c>
      <c r="U21" s="8">
        <f>IF(OR(VedAarnaSKUMaster[[#This Row],[Selling Price]]="",VedAarnaSKUMaster[[#This Row],[Selling Price]]=0),"",CEILING(VedAarnaSKUMaster[[#This Row],[Selling Price]]/(1-20%),100)-1)</f>
        <v>3399</v>
      </c>
      <c r="V21">
        <f t="shared" si="12"/>
        <v>2700</v>
      </c>
      <c r="W21" s="8">
        <v>1350</v>
      </c>
      <c r="X21" t="s">
        <v>80</v>
      </c>
      <c r="Y21" t="s">
        <v>81</v>
      </c>
      <c r="Z21" s="6" t="str">
        <f t="shared" si="3"/>
        <v>VS-SUT-3PC-0020-RNP-26-01-FR.png</v>
      </c>
      <c r="AA21" s="6" t="str">
        <f t="shared" si="4"/>
        <v>VS-SUT-3PC-0020-RNP-26-02-SD.png</v>
      </c>
      <c r="AB21" s="6" t="str">
        <f t="shared" si="5"/>
        <v>VS-SUT-3PC-0020-RNP-26-03-BK.png</v>
      </c>
      <c r="AC21" s="6" t="str">
        <f t="shared" si="6"/>
        <v>VS-SUT-3PC-0020-RNP-26-04-CD.png</v>
      </c>
      <c r="AD21" s="6" t="str">
        <f t="shared" si="7"/>
        <v>VS-SUT-3PC-0020-RNP-26-05-WK.png</v>
      </c>
      <c r="AE21" s="6" t="str">
        <f t="shared" si="8"/>
        <v>VS-SUT-3PC-0020-RNP-26-06-ST.png</v>
      </c>
      <c r="AF21" s="6" t="str">
        <f t="shared" si="9"/>
        <v>VS-SUT-3PC-0020-RNP-26-FB.png</v>
      </c>
      <c r="AG21" s="6" t="str">
        <f t="shared" si="10"/>
        <v>VS-SUT-3PC-0020-RNP-26-DT.png</v>
      </c>
      <c r="AH21" s="6" t="str">
        <f t="shared" si="11"/>
        <v>VS-SUT-3PC-0020-RNP-26-REF-01.png</v>
      </c>
    </row>
    <row r="22" spans="1:34" ht="185.25">
      <c r="A22" s="9">
        <v>21</v>
      </c>
      <c r="B22" t="s">
        <v>357</v>
      </c>
      <c r="C22" s="4" t="str">
        <f>IFERROR(VLOOKUP(B22,'Code Lists'!$A:$B,2,FALSE),"")</f>
        <v>KRS</v>
      </c>
      <c r="D22" t="s">
        <v>64</v>
      </c>
      <c r="E22" t="s">
        <v>50</v>
      </c>
      <c r="F22" s="4" t="str">
        <f>IFERROR(VLOOKUP(E22,'Code Lists'!$D:$E,2,FALSE),"")</f>
        <v>CTN</v>
      </c>
      <c r="G22" t="s">
        <v>88</v>
      </c>
      <c r="H22" s="4" t="str">
        <f>IFERROR(VLOOKUP(G22,'Code Lists'!$G:$H,2,FALSE),"")</f>
        <v>BEG</v>
      </c>
      <c r="I22" t="s">
        <v>330</v>
      </c>
      <c r="J22" s="10">
        <v>2026</v>
      </c>
      <c r="K22" t="s">
        <v>40</v>
      </c>
      <c r="L22" t="s">
        <v>66</v>
      </c>
      <c r="M22" s="11" t="s">
        <v>358</v>
      </c>
      <c r="N22" t="s">
        <v>42</v>
      </c>
      <c r="O22">
        <v>4</v>
      </c>
      <c r="P22">
        <v>998822</v>
      </c>
      <c r="Q22" s="7">
        <f>IF(VedAarnaSKUMaster[[#This Row],[HSN/SAC Code]]=998822,5%,IF(VedAarnaSKUMaster[[#This Row],[HSN/SAC Code]]=998391,18%,IF(VedAarnaSKUMaster[[#This Row],[HSN/SAC Code]]=998723,5%,"")))</f>
        <v>0.05</v>
      </c>
      <c r="R22" s="5" t="str">
        <f t="shared" si="0"/>
        <v>VS-KRS-2PC-0021-BEG-26</v>
      </c>
      <c r="S22" s="5" t="str">
        <f t="shared" si="1"/>
        <v>VS-KRS-2PC-0021-CTN-BEG-M,L,XL,2XL-26</v>
      </c>
      <c r="T22" s="11" t="s">
        <v>359</v>
      </c>
      <c r="U22" s="8">
        <f>IF(OR(VedAarnaSKUMaster[[#This Row],[Selling Price]]="",VedAarnaSKUMaster[[#This Row],[Selling Price]]=0),"",CEILING(VedAarnaSKUMaster[[#This Row],[Selling Price]]/(1-20%),100)-1)</f>
        <v>1999</v>
      </c>
      <c r="V22">
        <f t="shared" si="12"/>
        <v>1600</v>
      </c>
      <c r="W22" s="8">
        <v>790</v>
      </c>
      <c r="X22" t="s">
        <v>80</v>
      </c>
      <c r="Y22" t="s">
        <v>81</v>
      </c>
      <c r="Z22" s="6" t="str">
        <f t="shared" si="3"/>
        <v>VS-KRS-2PC-0021-BEG-26-01-FR.png</v>
      </c>
      <c r="AA22" s="6" t="str">
        <f t="shared" si="4"/>
        <v>VS-KRS-2PC-0021-BEG-26-02-SD.png</v>
      </c>
      <c r="AB22" s="6" t="str">
        <f t="shared" si="5"/>
        <v>VS-KRS-2PC-0021-BEG-26-03-BK.png</v>
      </c>
      <c r="AC22" s="6" t="str">
        <f t="shared" si="6"/>
        <v>VS-KRS-2PC-0021-BEG-26-04-CD.png</v>
      </c>
      <c r="AD22" s="6" t="str">
        <f t="shared" si="7"/>
        <v>VS-KRS-2PC-0021-BEG-26-05-WK.png</v>
      </c>
      <c r="AE22" s="6" t="str">
        <f t="shared" si="8"/>
        <v>VS-KRS-2PC-0021-BEG-26-06-ST.png</v>
      </c>
      <c r="AF22" s="6" t="str">
        <f t="shared" si="9"/>
        <v>VS-KRS-2PC-0021-BEG-26-FB.png</v>
      </c>
      <c r="AG22" s="6" t="str">
        <f t="shared" si="10"/>
        <v>VS-KRS-2PC-0021-BEG-26-DT.png</v>
      </c>
      <c r="AH22" s="6" t="str">
        <f t="shared" si="11"/>
        <v>VS-KRS-2PC-0021-BEG-26-REF-01.png</v>
      </c>
    </row>
    <row r="23" spans="1:34" ht="156.75">
      <c r="A23" s="9">
        <v>22</v>
      </c>
      <c r="B23" t="s">
        <v>129</v>
      </c>
      <c r="C23" s="4" t="str">
        <f>IFERROR(VLOOKUP(B23,'Code Lists'!$A:$B,2,FALSE),"")</f>
        <v>CRD</v>
      </c>
      <c r="D23" t="s">
        <v>64</v>
      </c>
      <c r="E23" t="s">
        <v>74</v>
      </c>
      <c r="F23" s="4" t="str">
        <f>IFERROR(VLOOKUP(E23,'Code Lists'!$D:$E,2,FALSE),"")</f>
        <v>RYN</v>
      </c>
      <c r="G23" t="s">
        <v>227</v>
      </c>
      <c r="H23" s="4" t="str">
        <f>IFERROR(VLOOKUP(G23,'Code Lists'!$G:$H,2,FALSE),"")</f>
        <v>NVY</v>
      </c>
      <c r="I23" t="s">
        <v>360</v>
      </c>
      <c r="J23" s="10">
        <v>2026</v>
      </c>
      <c r="K23" t="s">
        <v>361</v>
      </c>
      <c r="L23" t="s">
        <v>66</v>
      </c>
      <c r="M23" s="11" t="s">
        <v>362</v>
      </c>
      <c r="N23" t="s">
        <v>42</v>
      </c>
      <c r="O23">
        <v>3</v>
      </c>
      <c r="P23">
        <v>998822</v>
      </c>
      <c r="Q23" s="7">
        <f>IF(VedAarnaSKUMaster[[#This Row],[HSN/SAC Code]]=998822,5%,IF(VedAarnaSKUMaster[[#This Row],[HSN/SAC Code]]=998391,18%,IF(VedAarnaSKUMaster[[#This Row],[HSN/SAC Code]]=998723,5%,"")))</f>
        <v>0.05</v>
      </c>
      <c r="R23" s="5" t="str">
        <f t="shared" si="0"/>
        <v>VS-CRD-2PC-0022-NVY-26</v>
      </c>
      <c r="S23" s="5" t="str">
        <f t="shared" si="1"/>
        <v>VS-CRD-2PC-0022-RYN-NVY-M,L,XL,2XL, 3XL, 4XL-26</v>
      </c>
      <c r="T23" s="11" t="s">
        <v>363</v>
      </c>
      <c r="U23" s="8">
        <f>IF(OR(VedAarnaSKUMaster[[#This Row],[Selling Price]]="",VedAarnaSKUMaster[[#This Row],[Selling Price]]=0),"",CEILING(VedAarnaSKUMaster[[#This Row],[Selling Price]]/(1-20%),100)-1)</f>
        <v>1799</v>
      </c>
      <c r="V23">
        <f t="shared" si="12"/>
        <v>1400</v>
      </c>
      <c r="W23" s="8">
        <v>700</v>
      </c>
      <c r="X23" t="s">
        <v>80</v>
      </c>
      <c r="Y23" t="s">
        <v>81</v>
      </c>
      <c r="Z23" s="6" t="str">
        <f t="shared" si="3"/>
        <v>VS-CRD-2PC-0022-NVY-26-01-FR.png</v>
      </c>
      <c r="AA23" s="6" t="str">
        <f t="shared" si="4"/>
        <v>VS-CRD-2PC-0022-NVY-26-02-SD.png</v>
      </c>
      <c r="AB23" s="6" t="str">
        <f t="shared" si="5"/>
        <v>VS-CRD-2PC-0022-NVY-26-03-BK.png</v>
      </c>
      <c r="AC23" s="6" t="str">
        <f t="shared" si="6"/>
        <v>VS-CRD-2PC-0022-NVY-26-04-CD.png</v>
      </c>
      <c r="AD23" s="6" t="str">
        <f t="shared" si="7"/>
        <v>VS-CRD-2PC-0022-NVY-26-05-WK.png</v>
      </c>
      <c r="AE23" s="6" t="str">
        <f t="shared" si="8"/>
        <v>VS-CRD-2PC-0022-NVY-26-06-ST.png</v>
      </c>
      <c r="AF23" s="6" t="str">
        <f t="shared" si="9"/>
        <v>VS-CRD-2PC-0022-NVY-26-FB.png</v>
      </c>
      <c r="AG23" s="6" t="str">
        <f t="shared" si="10"/>
        <v>VS-CRD-2PC-0022-NVY-26-DT.png</v>
      </c>
      <c r="AH23" s="6" t="str">
        <f t="shared" si="11"/>
        <v>VS-CRD-2PC-0022-NVY-26-REF-01.png</v>
      </c>
    </row>
    <row r="24" spans="1:34" ht="185.25">
      <c r="A24" s="9">
        <v>23</v>
      </c>
      <c r="B24" t="s">
        <v>357</v>
      </c>
      <c r="C24" s="4" t="str">
        <f>IFERROR(VLOOKUP(B24,'Code Lists'!$A:$B,2,FALSE),"")</f>
        <v>KRS</v>
      </c>
      <c r="D24" t="s">
        <v>64</v>
      </c>
      <c r="E24" t="s">
        <v>50</v>
      </c>
      <c r="F24" s="4" t="str">
        <f>IFERROR(VLOOKUP(E24,'Code Lists'!$D:$E,2,FALSE),"")</f>
        <v>CTN</v>
      </c>
      <c r="G24" t="s">
        <v>364</v>
      </c>
      <c r="H24" s="4" t="str">
        <f>IFERROR(VLOOKUP(G24,'Code Lists'!$G:$H,2,FALSE),"")</f>
        <v>FUS</v>
      </c>
      <c r="I24" t="s">
        <v>330</v>
      </c>
      <c r="J24" s="10">
        <v>2026</v>
      </c>
      <c r="K24" t="s">
        <v>40</v>
      </c>
      <c r="L24" t="s">
        <v>101</v>
      </c>
      <c r="M24" s="11" t="s">
        <v>368</v>
      </c>
      <c r="N24" t="s">
        <v>42</v>
      </c>
      <c r="O24">
        <v>4</v>
      </c>
      <c r="P24">
        <v>998822</v>
      </c>
      <c r="Q24" s="7">
        <f>IF(VedAarnaSKUMaster[[#This Row],[HSN/SAC Code]]=998822,5%,IF(VedAarnaSKUMaster[[#This Row],[HSN/SAC Code]]=998391,18%,IF(VedAarnaSKUMaster[[#This Row],[HSN/SAC Code]]=998723,5%,"")))</f>
        <v>0.05</v>
      </c>
      <c r="R24" s="5" t="str">
        <f t="shared" si="0"/>
        <v>VS-KRS-2PC-0023-FUS-26</v>
      </c>
      <c r="S24" s="5" t="str">
        <f t="shared" si="1"/>
        <v>VS-KRS-2PC-0023-CTN-FUS-M,L,XL,2XL-26</v>
      </c>
      <c r="T24" s="11" t="s">
        <v>369</v>
      </c>
      <c r="U24" s="8">
        <f>IF(OR(VedAarnaSKUMaster[[#This Row],[Selling Price]]="",VedAarnaSKUMaster[[#This Row],[Selling Price]]=0),"",CEILING(VedAarnaSKUMaster[[#This Row],[Selling Price]]/(1-20%),100)-1)</f>
        <v>2299</v>
      </c>
      <c r="V24">
        <f t="shared" si="12"/>
        <v>1800</v>
      </c>
      <c r="W24" s="8">
        <v>890</v>
      </c>
      <c r="X24" t="s">
        <v>80</v>
      </c>
      <c r="Y24" t="s">
        <v>81</v>
      </c>
      <c r="Z24" s="6" t="str">
        <f t="shared" si="3"/>
        <v>VS-KRS-2PC-0023-FUS-26-01-FR.png</v>
      </c>
      <c r="AA24" s="6" t="str">
        <f t="shared" si="4"/>
        <v>VS-KRS-2PC-0023-FUS-26-02-SD.png</v>
      </c>
      <c r="AB24" s="6" t="str">
        <f t="shared" si="5"/>
        <v>VS-KRS-2PC-0023-FUS-26-03-BK.png</v>
      </c>
      <c r="AC24" s="6" t="str">
        <f t="shared" si="6"/>
        <v>VS-KRS-2PC-0023-FUS-26-04-CD.png</v>
      </c>
      <c r="AD24" s="6" t="str">
        <f t="shared" si="7"/>
        <v>VS-KRS-2PC-0023-FUS-26-05-WK.png</v>
      </c>
      <c r="AE24" s="6" t="str">
        <f t="shared" si="8"/>
        <v>VS-KRS-2PC-0023-FUS-26-06-ST.png</v>
      </c>
      <c r="AF24" s="6" t="str">
        <f t="shared" si="9"/>
        <v>VS-KRS-2PC-0023-FUS-26-FB.png</v>
      </c>
      <c r="AG24" s="6" t="str">
        <f t="shared" si="10"/>
        <v>VS-KRS-2PC-0023-FUS-26-DT.png</v>
      </c>
      <c r="AH24" s="6" t="str">
        <f t="shared" si="11"/>
        <v>VS-KRS-2PC-0023-FUS-26-REF-01.png</v>
      </c>
    </row>
    <row r="25" spans="1:34" ht="199.5">
      <c r="A25" s="9">
        <v>24</v>
      </c>
      <c r="B25" t="s">
        <v>357</v>
      </c>
      <c r="C25" s="4" t="str">
        <f>IFERROR(VLOOKUP(B25,'Code Lists'!$A:$B,2,FALSE),"")</f>
        <v>KRS</v>
      </c>
      <c r="D25" t="s">
        <v>36</v>
      </c>
      <c r="E25" t="s">
        <v>370</v>
      </c>
      <c r="F25" s="4" t="str">
        <f>IFERROR(VLOOKUP(E25,'Code Lists'!$D:$E,2,FALSE),"")</f>
        <v>JRD</v>
      </c>
      <c r="G25" t="s">
        <v>61</v>
      </c>
      <c r="H25" s="4" t="str">
        <f>IFERROR(VLOOKUP(G25,'Code Lists'!$G:$H,2,FALSE),"")</f>
        <v>WHT</v>
      </c>
      <c r="I25" t="s">
        <v>330</v>
      </c>
      <c r="J25" s="10">
        <v>2026</v>
      </c>
      <c r="K25" t="s">
        <v>40</v>
      </c>
      <c r="L25" t="s">
        <v>41</v>
      </c>
      <c r="M25" s="11" t="s">
        <v>372</v>
      </c>
      <c r="N25" t="s">
        <v>67</v>
      </c>
      <c r="O25">
        <v>2</v>
      </c>
      <c r="P25">
        <v>998822</v>
      </c>
      <c r="Q25" s="7">
        <f>IF(VedAarnaSKUMaster[[#This Row],[HSN/SAC Code]]=998822,5%,IF(VedAarnaSKUMaster[[#This Row],[HSN/SAC Code]]=998391,18%,IF(VedAarnaSKUMaster[[#This Row],[HSN/SAC Code]]=998723,5%,"")))</f>
        <v>0.05</v>
      </c>
      <c r="R25" s="5" t="str">
        <f t="shared" si="0"/>
        <v>VS-KRS-3PC-0024-WHT-26</v>
      </c>
      <c r="S25" s="5" t="str">
        <f t="shared" si="1"/>
        <v>VS-KRS-3PC-0024-JRD-WHT-M,L,XL,2XL-26</v>
      </c>
      <c r="T25" s="11" t="s">
        <v>373</v>
      </c>
      <c r="U25" s="8">
        <f>IF(OR(VedAarnaSKUMaster[[#This Row],[Selling Price]]="",VedAarnaSKUMaster[[#This Row],[Selling Price]]=0),"",CEILING(VedAarnaSKUMaster[[#This Row],[Selling Price]]/(1-20%),100)-1)</f>
        <v>4499</v>
      </c>
      <c r="V25">
        <f t="shared" si="12"/>
        <v>3600</v>
      </c>
      <c r="W25" s="8">
        <v>1800</v>
      </c>
      <c r="X25" t="s">
        <v>80</v>
      </c>
      <c r="Y25" t="s">
        <v>81</v>
      </c>
      <c r="Z25" s="6" t="str">
        <f t="shared" si="3"/>
        <v>VS-KRS-3PC-0024-WHT-26-01-FR.png</v>
      </c>
      <c r="AA25" s="6" t="str">
        <f t="shared" si="4"/>
        <v>VS-KRS-3PC-0024-WHT-26-02-SD.png</v>
      </c>
      <c r="AB25" s="6" t="str">
        <f t="shared" si="5"/>
        <v>VS-KRS-3PC-0024-WHT-26-03-BK.png</v>
      </c>
      <c r="AC25" s="6" t="str">
        <f t="shared" si="6"/>
        <v>VS-KRS-3PC-0024-WHT-26-04-CD.png</v>
      </c>
      <c r="AD25" s="6" t="str">
        <f t="shared" si="7"/>
        <v>VS-KRS-3PC-0024-WHT-26-05-WK.png</v>
      </c>
      <c r="AE25" s="6" t="str">
        <f t="shared" si="8"/>
        <v>VS-KRS-3PC-0024-WHT-26-06-ST.png</v>
      </c>
      <c r="AF25" s="6" t="str">
        <f t="shared" si="9"/>
        <v>VS-KRS-3PC-0024-WHT-26-FB.png</v>
      </c>
      <c r="AG25" s="6" t="str">
        <f t="shared" si="10"/>
        <v>VS-KRS-3PC-0024-WHT-26-DT.png</v>
      </c>
      <c r="AH25" s="6" t="str">
        <f t="shared" si="11"/>
        <v>VS-KRS-3PC-0024-WHT-26-REF-01.png</v>
      </c>
    </row>
    <row r="26" spans="1:34" ht="156.75">
      <c r="A26" s="9">
        <v>25</v>
      </c>
      <c r="B26" t="s">
        <v>302</v>
      </c>
      <c r="C26" s="4" t="str">
        <f>IFERROR(VLOOKUP(B26,'Code Lists'!$A:$B,2,FALSE),"")</f>
        <v>OPC</v>
      </c>
      <c r="D26" t="s">
        <v>55</v>
      </c>
      <c r="E26" t="s">
        <v>50</v>
      </c>
      <c r="F26" s="4" t="str">
        <f>IFERROR(VLOOKUP(E26,'Code Lists'!$D:$E,2,FALSE),"")</f>
        <v>CTN</v>
      </c>
      <c r="G26" t="s">
        <v>188</v>
      </c>
      <c r="H26" s="4" t="str">
        <f>IFERROR(VLOOKUP(G26,'Code Lists'!$G:$H,2,FALSE),"")</f>
        <v>YLW</v>
      </c>
      <c r="I26" t="s">
        <v>330</v>
      </c>
      <c r="J26" s="10">
        <v>2026</v>
      </c>
      <c r="K26" t="s">
        <v>109</v>
      </c>
      <c r="L26" t="s">
        <v>66</v>
      </c>
      <c r="M26" s="11" t="s">
        <v>354</v>
      </c>
      <c r="N26" t="s">
        <v>67</v>
      </c>
      <c r="O26">
        <v>4</v>
      </c>
      <c r="P26">
        <v>998822</v>
      </c>
      <c r="Q26" s="7">
        <f>IF(VedAarnaSKUMaster[[#This Row],[HSN/SAC Code]]=998822,5%,IF(VedAarnaSKUMaster[[#This Row],[HSN/SAC Code]]=998391,18%,IF(VedAarnaSKUMaster[[#This Row],[HSN/SAC Code]]=998723,5%,"")))</f>
        <v>0.05</v>
      </c>
      <c r="R26" s="5" t="str">
        <f t="shared" si="0"/>
        <v>VS-OPC-1PC-0025-YLW-26</v>
      </c>
      <c r="S26" s="5" t="str">
        <f t="shared" si="1"/>
        <v>VS-OPC-1PC-0025-CTN-YLW-M,L,XL,2XL-26</v>
      </c>
      <c r="T26" s="11" t="s">
        <v>355</v>
      </c>
      <c r="U26" s="8">
        <f>IF(OR(VedAarnaSKUMaster[[#This Row],[Selling Price]]="",VedAarnaSKUMaster[[#This Row],[Selling Price]]=0),"",CEILING(VedAarnaSKUMaster[[#This Row],[Selling Price]]/(1-20%),100)-1)</f>
        <v>899</v>
      </c>
      <c r="V26">
        <f t="shared" si="12"/>
        <v>700</v>
      </c>
      <c r="W26" s="8">
        <v>349</v>
      </c>
      <c r="X26" t="s">
        <v>80</v>
      </c>
      <c r="Y26" t="s">
        <v>81</v>
      </c>
      <c r="Z26" s="6" t="str">
        <f t="shared" si="3"/>
        <v>VS-OPC-1PC-0025-YLW-26-01-FR.png</v>
      </c>
      <c r="AA26" s="6" t="str">
        <f t="shared" si="4"/>
        <v>VS-OPC-1PC-0025-YLW-26-02-SD.png</v>
      </c>
      <c r="AB26" s="6" t="str">
        <f t="shared" si="5"/>
        <v>VS-OPC-1PC-0025-YLW-26-03-BK.png</v>
      </c>
      <c r="AC26" s="6" t="str">
        <f t="shared" si="6"/>
        <v>VS-OPC-1PC-0025-YLW-26-04-CD.png</v>
      </c>
      <c r="AD26" s="6" t="str">
        <f t="shared" si="7"/>
        <v>VS-OPC-1PC-0025-YLW-26-05-WK.png</v>
      </c>
      <c r="AE26" s="6" t="str">
        <f t="shared" si="8"/>
        <v>VS-OPC-1PC-0025-YLW-26-06-ST.png</v>
      </c>
      <c r="AF26" s="6" t="str">
        <f t="shared" si="9"/>
        <v>VS-OPC-1PC-0025-YLW-26-FB.png</v>
      </c>
      <c r="AG26" s="6" t="str">
        <f t="shared" si="10"/>
        <v>VS-OPC-1PC-0025-YLW-26-DT.png</v>
      </c>
      <c r="AH26" s="6" t="str">
        <f t="shared" si="11"/>
        <v>VS-OPC-1PC-0025-YLW-26-REF-01.png</v>
      </c>
    </row>
    <row r="27" spans="1:34" ht="199.5">
      <c r="A27" s="9">
        <v>26</v>
      </c>
      <c r="B27" t="s">
        <v>357</v>
      </c>
      <c r="C27" s="4" t="str">
        <f>IFERROR(VLOOKUP(B27,'Code Lists'!$A:$B,2,FALSE),"")</f>
        <v>KRS</v>
      </c>
      <c r="D27" t="s">
        <v>64</v>
      </c>
      <c r="E27" t="s">
        <v>74</v>
      </c>
      <c r="F27" s="4" t="str">
        <f>IFERROR(VLOOKUP(E27,'Code Lists'!$D:$E,2,FALSE),"")</f>
        <v>RYN</v>
      </c>
      <c r="G27" t="s">
        <v>194</v>
      </c>
      <c r="H27" s="4" t="str">
        <f>IFERROR(VLOOKUP(G27,'Code Lists'!$G:$H,2,FALSE),"")</f>
        <v>MST</v>
      </c>
      <c r="I27" t="s">
        <v>330</v>
      </c>
      <c r="J27" s="10">
        <v>2026</v>
      </c>
      <c r="K27" t="s">
        <v>40</v>
      </c>
      <c r="L27" t="s">
        <v>41</v>
      </c>
      <c r="M27" s="11" t="s">
        <v>374</v>
      </c>
      <c r="N27" t="s">
        <v>42</v>
      </c>
      <c r="O27">
        <v>2</v>
      </c>
      <c r="P27">
        <v>998822</v>
      </c>
      <c r="Q27" s="7">
        <f>IF(VedAarnaSKUMaster[[#This Row],[HSN/SAC Code]]=998822,5%,IF(VedAarnaSKUMaster[[#This Row],[HSN/SAC Code]]=998391,18%,IF(VedAarnaSKUMaster[[#This Row],[HSN/SAC Code]]=998723,5%,"")))</f>
        <v>0.05</v>
      </c>
      <c r="R27" s="5" t="str">
        <f t="shared" si="0"/>
        <v>VS-KRS-2PC-0026-MST-26</v>
      </c>
      <c r="S27" s="5" t="str">
        <f t="shared" si="1"/>
        <v>VS-KRS-2PC-0026-RYN-MST-M,L,XL,2XL-26</v>
      </c>
      <c r="T27" s="11" t="s">
        <v>375</v>
      </c>
      <c r="U27" s="8">
        <f>IF(OR(VedAarnaSKUMaster[[#This Row],[Selling Price]]="",VedAarnaSKUMaster[[#This Row],[Selling Price]]=0),"",CEILING(VedAarnaSKUMaster[[#This Row],[Selling Price]]/(1-20%),100)-1)</f>
        <v>1899</v>
      </c>
      <c r="V27">
        <f t="shared" si="12"/>
        <v>1500</v>
      </c>
      <c r="W27" s="8">
        <v>750</v>
      </c>
      <c r="X27" t="s">
        <v>80</v>
      </c>
      <c r="Y27" t="s">
        <v>81</v>
      </c>
      <c r="Z27" s="6" t="str">
        <f t="shared" si="3"/>
        <v>VS-KRS-2PC-0026-MST-26-01-FR.png</v>
      </c>
      <c r="AA27" s="6" t="str">
        <f t="shared" si="4"/>
        <v>VS-KRS-2PC-0026-MST-26-02-SD.png</v>
      </c>
      <c r="AB27" s="6" t="str">
        <f t="shared" si="5"/>
        <v>VS-KRS-2PC-0026-MST-26-03-BK.png</v>
      </c>
      <c r="AC27" s="6" t="str">
        <f t="shared" si="6"/>
        <v>VS-KRS-2PC-0026-MST-26-04-CD.png</v>
      </c>
      <c r="AD27" s="6" t="str">
        <f t="shared" si="7"/>
        <v>VS-KRS-2PC-0026-MST-26-05-WK.png</v>
      </c>
      <c r="AE27" s="6" t="str">
        <f t="shared" si="8"/>
        <v>VS-KRS-2PC-0026-MST-26-06-ST.png</v>
      </c>
      <c r="AF27" s="6" t="str">
        <f t="shared" si="9"/>
        <v>VS-KRS-2PC-0026-MST-26-FB.png</v>
      </c>
      <c r="AG27" s="6" t="str">
        <f t="shared" si="10"/>
        <v>VS-KRS-2PC-0026-MST-26-DT.png</v>
      </c>
      <c r="AH27" s="6" t="str">
        <f t="shared" si="11"/>
        <v>VS-KRS-2PC-0026-MST-26-REF-01.png</v>
      </c>
    </row>
    <row r="28" spans="1:34" ht="171">
      <c r="A28" s="9">
        <v>27</v>
      </c>
      <c r="B28" t="s">
        <v>156</v>
      </c>
      <c r="C28" s="4" t="str">
        <f>IFERROR(VLOOKUP(B28,'Code Lists'!$A:$B,2,FALSE),"")</f>
        <v>SHT</v>
      </c>
      <c r="D28" t="s">
        <v>55</v>
      </c>
      <c r="E28" t="s">
        <v>50</v>
      </c>
      <c r="F28" s="4" t="str">
        <f>IFERROR(VLOOKUP(E28,'Code Lists'!$D:$E,2,FALSE),"")</f>
        <v>CTN</v>
      </c>
      <c r="G28" t="s">
        <v>133</v>
      </c>
      <c r="H28" s="4" t="str">
        <f>IFERROR(VLOOKUP(G28,'Code Lists'!$G:$H,2,FALSE),"")</f>
        <v>PNK</v>
      </c>
      <c r="I28" t="s">
        <v>330</v>
      </c>
      <c r="J28" s="10">
        <v>2026</v>
      </c>
      <c r="K28" t="s">
        <v>136</v>
      </c>
      <c r="L28" t="s">
        <v>119</v>
      </c>
      <c r="M28" s="11" t="s">
        <v>376</v>
      </c>
      <c r="N28" t="s">
        <v>67</v>
      </c>
      <c r="O28">
        <v>3</v>
      </c>
      <c r="P28">
        <v>998822</v>
      </c>
      <c r="Q28" s="7">
        <f>IF(VedAarnaSKUMaster[[#This Row],[HSN/SAC Code]]=998822,5%,IF(VedAarnaSKUMaster[[#This Row],[HSN/SAC Code]]=998391,18%,IF(VedAarnaSKUMaster[[#This Row],[HSN/SAC Code]]=998723,5%,"")))</f>
        <v>0.05</v>
      </c>
      <c r="R28" s="5" t="str">
        <f t="shared" si="0"/>
        <v>VS-SHT-1PC-0027-PNK-26</v>
      </c>
      <c r="S28" s="5" t="str">
        <f t="shared" si="1"/>
        <v>VS-SHT-1PC-0027-CTN-PNK-M,L,XL,2XL-26</v>
      </c>
      <c r="T28" s="11" t="s">
        <v>377</v>
      </c>
      <c r="U28" s="8">
        <f>IF(OR(VedAarnaSKUMaster[[#This Row],[Selling Price]]="",VedAarnaSKUMaster[[#This Row],[Selling Price]]=0),"",CEILING(VedAarnaSKUMaster[[#This Row],[Selling Price]]/(1-20%),100)-1)</f>
        <v>899</v>
      </c>
      <c r="V28">
        <f t="shared" si="12"/>
        <v>700</v>
      </c>
      <c r="W28" s="8">
        <v>325</v>
      </c>
      <c r="X28" t="s">
        <v>80</v>
      </c>
      <c r="Y28" t="s">
        <v>81</v>
      </c>
      <c r="Z28" s="6" t="str">
        <f t="shared" si="3"/>
        <v>VS-SHT-1PC-0027-PNK-26-01-FR.png</v>
      </c>
      <c r="AA28" s="6" t="str">
        <f t="shared" si="4"/>
        <v>VS-SHT-1PC-0027-PNK-26-02-SD.png</v>
      </c>
      <c r="AB28" s="6" t="str">
        <f t="shared" si="5"/>
        <v>VS-SHT-1PC-0027-PNK-26-03-BK.png</v>
      </c>
      <c r="AC28" s="6" t="str">
        <f t="shared" si="6"/>
        <v>VS-SHT-1PC-0027-PNK-26-04-CD.png</v>
      </c>
      <c r="AD28" s="6" t="str">
        <f t="shared" si="7"/>
        <v>VS-SHT-1PC-0027-PNK-26-05-WK.png</v>
      </c>
      <c r="AE28" s="6" t="str">
        <f t="shared" si="8"/>
        <v>VS-SHT-1PC-0027-PNK-26-06-ST.png</v>
      </c>
      <c r="AF28" s="6" t="str">
        <f t="shared" si="9"/>
        <v>VS-SHT-1PC-0027-PNK-26-FB.png</v>
      </c>
      <c r="AG28" s="6" t="str">
        <f t="shared" si="10"/>
        <v>VS-SHT-1PC-0027-PNK-26-DT.png</v>
      </c>
      <c r="AH28" s="6" t="str">
        <f t="shared" si="11"/>
        <v>VS-SHT-1PC-0027-PNK-26-REF-01.png</v>
      </c>
    </row>
    <row r="29" spans="1:34" ht="185.25">
      <c r="A29" s="9">
        <v>28</v>
      </c>
      <c r="B29" t="s">
        <v>156</v>
      </c>
      <c r="C29" s="4" t="str">
        <f>IFERROR(VLOOKUP(B29,'Code Lists'!$A:$B,2,FALSE),"")</f>
        <v>SHT</v>
      </c>
      <c r="D29" t="s">
        <v>55</v>
      </c>
      <c r="E29" t="s">
        <v>50</v>
      </c>
      <c r="F29" s="4" t="str">
        <f>IFERROR(VLOOKUP(E29,'Code Lists'!$D:$E,2,FALSE),"")</f>
        <v>CTN</v>
      </c>
      <c r="G29" t="s">
        <v>242</v>
      </c>
      <c r="H29" s="4" t="str">
        <f>IFERROR(VLOOKUP(G29,'Code Lists'!$G:$H,2,FALSE),"")</f>
        <v>BRN</v>
      </c>
      <c r="I29" t="s">
        <v>330</v>
      </c>
      <c r="J29" s="10">
        <v>2026</v>
      </c>
      <c r="K29" t="s">
        <v>378</v>
      </c>
      <c r="L29" t="s">
        <v>41</v>
      </c>
      <c r="M29" s="11" t="s">
        <v>379</v>
      </c>
      <c r="N29" t="s">
        <v>67</v>
      </c>
      <c r="O29">
        <v>4</v>
      </c>
      <c r="P29">
        <v>998822</v>
      </c>
      <c r="Q29" s="7">
        <f>IF(VedAarnaSKUMaster[[#This Row],[HSN/SAC Code]]=998822,5%,IF(VedAarnaSKUMaster[[#This Row],[HSN/SAC Code]]=998391,18%,IF(VedAarnaSKUMaster[[#This Row],[HSN/SAC Code]]=998723,5%,"")))</f>
        <v>0.05</v>
      </c>
      <c r="R29" s="5" t="str">
        <f t="shared" si="0"/>
        <v>VS-SHT-1PC-0028-BRN-26</v>
      </c>
      <c r="S29" s="5" t="str">
        <f t="shared" si="1"/>
        <v>VS-SHT-1PC-0028-CTN-BRN-M,L,XL,2XL-26</v>
      </c>
      <c r="T29" s="11" t="s">
        <v>380</v>
      </c>
      <c r="U29" s="8">
        <f>IF(OR(VedAarnaSKUMaster[[#This Row],[Selling Price]]="",VedAarnaSKUMaster[[#This Row],[Selling Price]]=0),"",CEILING(VedAarnaSKUMaster[[#This Row],[Selling Price]]/(1-20%),100)-1)</f>
        <v>699</v>
      </c>
      <c r="V29">
        <f t="shared" si="12"/>
        <v>500</v>
      </c>
      <c r="W29" s="8">
        <v>260</v>
      </c>
      <c r="X29" t="s">
        <v>80</v>
      </c>
      <c r="Y29" t="s">
        <v>45</v>
      </c>
      <c r="Z29" s="6" t="str">
        <f t="shared" si="3"/>
        <v>VS-SHT-1PC-0028-BRN-26-01-FR.png</v>
      </c>
      <c r="AA29" s="6" t="str">
        <f t="shared" si="4"/>
        <v>VS-SHT-1PC-0028-BRN-26-02-SD.png</v>
      </c>
      <c r="AB29" s="6" t="str">
        <f t="shared" si="5"/>
        <v>VS-SHT-1PC-0028-BRN-26-03-BK.png</v>
      </c>
      <c r="AC29" s="6" t="str">
        <f t="shared" si="6"/>
        <v>VS-SHT-1PC-0028-BRN-26-04-CD.png</v>
      </c>
      <c r="AD29" s="6" t="str">
        <f t="shared" si="7"/>
        <v>VS-SHT-1PC-0028-BRN-26-05-WK.png</v>
      </c>
      <c r="AE29" s="6" t="str">
        <f t="shared" si="8"/>
        <v>VS-SHT-1PC-0028-BRN-26-06-ST.png</v>
      </c>
      <c r="AF29" s="6" t="str">
        <f t="shared" si="9"/>
        <v>VS-SHT-1PC-0028-BRN-26-FB.png</v>
      </c>
      <c r="AG29" s="6" t="str">
        <f t="shared" si="10"/>
        <v>VS-SHT-1PC-0028-BRN-26-DT.png</v>
      </c>
      <c r="AH29" s="6" t="str">
        <f t="shared" si="11"/>
        <v>VS-SHT-1PC-0028-BRN-26-REF-01.png</v>
      </c>
    </row>
    <row r="30" spans="1:34" ht="142.5">
      <c r="A30" s="9">
        <v>29</v>
      </c>
      <c r="B30" t="s">
        <v>156</v>
      </c>
      <c r="C30" s="4" t="str">
        <f>IFERROR(VLOOKUP(B30,'Code Lists'!$A:$B,2,FALSE),"")</f>
        <v>SHT</v>
      </c>
      <c r="D30" t="s">
        <v>55</v>
      </c>
      <c r="E30" t="s">
        <v>50</v>
      </c>
      <c r="F30" s="4" t="str">
        <f>IFERROR(VLOOKUP(E30,'Code Lists'!$D:$E,2,FALSE),"")</f>
        <v>CTN</v>
      </c>
      <c r="G30" t="s">
        <v>206</v>
      </c>
      <c r="H30" s="4" t="str">
        <f>IFERROR(VLOOKUP(G30,'Code Lists'!$G:$H,2,FALSE),"")</f>
        <v>OLV</v>
      </c>
      <c r="I30" t="s">
        <v>330</v>
      </c>
      <c r="J30" s="10">
        <v>2026</v>
      </c>
      <c r="K30" t="s">
        <v>118</v>
      </c>
      <c r="L30" t="s">
        <v>128</v>
      </c>
      <c r="M30" s="11" t="s">
        <v>381</v>
      </c>
      <c r="N30" t="s">
        <v>67</v>
      </c>
      <c r="O30">
        <v>2</v>
      </c>
      <c r="P30">
        <v>998822</v>
      </c>
      <c r="Q30" s="7">
        <f>IF(VedAarnaSKUMaster[[#This Row],[HSN/SAC Code]]=998822,5%,IF(VedAarnaSKUMaster[[#This Row],[HSN/SAC Code]]=998391,18%,IF(VedAarnaSKUMaster[[#This Row],[HSN/SAC Code]]=998723,5%,"")))</f>
        <v>0.05</v>
      </c>
      <c r="R30" s="5" t="str">
        <f t="shared" si="0"/>
        <v>VS-SHT-1PC-0029-OLV-26</v>
      </c>
      <c r="S30" s="5" t="str">
        <f t="shared" si="1"/>
        <v>VS-SHT-1PC-0029-CTN-OLV-M,L,XL,2XL-26</v>
      </c>
      <c r="T30" s="11" t="s">
        <v>382</v>
      </c>
      <c r="U30" s="8">
        <f>IF(OR(VedAarnaSKUMaster[[#This Row],[Selling Price]]="",VedAarnaSKUMaster[[#This Row],[Selling Price]]=0),"",CEILING(VedAarnaSKUMaster[[#This Row],[Selling Price]]/(1-20%),100)-1)</f>
        <v>899</v>
      </c>
      <c r="V30">
        <f t="shared" si="12"/>
        <v>700</v>
      </c>
      <c r="W30" s="8">
        <v>325</v>
      </c>
      <c r="X30" t="s">
        <v>80</v>
      </c>
      <c r="Y30" t="s">
        <v>45</v>
      </c>
      <c r="Z30" s="6" t="str">
        <f t="shared" si="3"/>
        <v>VS-SHT-1PC-0029-OLV-26-01-FR.png</v>
      </c>
      <c r="AA30" s="6" t="str">
        <f t="shared" si="4"/>
        <v>VS-SHT-1PC-0029-OLV-26-02-SD.png</v>
      </c>
      <c r="AB30" s="6" t="str">
        <f t="shared" si="5"/>
        <v>VS-SHT-1PC-0029-OLV-26-03-BK.png</v>
      </c>
      <c r="AC30" s="6" t="str">
        <f t="shared" si="6"/>
        <v>VS-SHT-1PC-0029-OLV-26-04-CD.png</v>
      </c>
      <c r="AD30" s="6" t="str">
        <f t="shared" si="7"/>
        <v>VS-SHT-1PC-0029-OLV-26-05-WK.png</v>
      </c>
      <c r="AE30" s="6" t="str">
        <f t="shared" si="8"/>
        <v>VS-SHT-1PC-0029-OLV-26-06-ST.png</v>
      </c>
      <c r="AF30" s="6" t="str">
        <f t="shared" si="9"/>
        <v>VS-SHT-1PC-0029-OLV-26-FB.png</v>
      </c>
      <c r="AG30" s="6" t="str">
        <f t="shared" si="10"/>
        <v>VS-SHT-1PC-0029-OLV-26-DT.png</v>
      </c>
      <c r="AH30" s="6" t="str">
        <f t="shared" si="11"/>
        <v>VS-SHT-1PC-0029-OLV-26-REF-01.png</v>
      </c>
    </row>
    <row r="31" spans="1:34" ht="156.75">
      <c r="A31" s="9">
        <v>30</v>
      </c>
      <c r="B31" t="s">
        <v>156</v>
      </c>
      <c r="C31" s="4" t="str">
        <f>IFERROR(VLOOKUP(B31,'Code Lists'!$A:$B,2,FALSE),"")</f>
        <v>SHT</v>
      </c>
      <c r="D31" t="s">
        <v>55</v>
      </c>
      <c r="E31" t="s">
        <v>289</v>
      </c>
      <c r="F31" s="4" t="str">
        <f>IFERROR(VLOOKUP(E31,'Code Lists'!$D:$E,2,FALSE),"")</f>
        <v>MIC</v>
      </c>
      <c r="G31" t="s">
        <v>248</v>
      </c>
      <c r="H31" s="4" t="str">
        <f>IFERROR(VLOOKUP(G31,'Code Lists'!$G:$H,2,FALSE),"")</f>
        <v>MLT</v>
      </c>
      <c r="I31" t="s">
        <v>330</v>
      </c>
      <c r="J31" s="10">
        <v>2026</v>
      </c>
      <c r="K31" t="s">
        <v>118</v>
      </c>
      <c r="L31" t="s">
        <v>119</v>
      </c>
      <c r="M31" s="11" t="s">
        <v>383</v>
      </c>
      <c r="N31" t="s">
        <v>67</v>
      </c>
      <c r="O31">
        <v>3</v>
      </c>
      <c r="P31">
        <v>998822</v>
      </c>
      <c r="Q31" s="7">
        <f>IF(VedAarnaSKUMaster[[#This Row],[HSN/SAC Code]]=998822,5%,IF(VedAarnaSKUMaster[[#This Row],[HSN/SAC Code]]=998391,18%,IF(VedAarnaSKUMaster[[#This Row],[HSN/SAC Code]]=998723,5%,"")))</f>
        <v>0.05</v>
      </c>
      <c r="R31" s="5" t="str">
        <f t="shared" si="0"/>
        <v>VS-SHT-1PC-0030-MLT-26</v>
      </c>
      <c r="S31" s="5" t="str">
        <f t="shared" si="1"/>
        <v>VS-SHT-1PC-0030-MIC-MLT-M,L,XL,2XL-26</v>
      </c>
      <c r="T31" s="11" t="s">
        <v>384</v>
      </c>
      <c r="U31" s="8">
        <f>IF(OR(VedAarnaSKUMaster[[#This Row],[Selling Price]]="",VedAarnaSKUMaster[[#This Row],[Selling Price]]=0),"",CEILING(VedAarnaSKUMaster[[#This Row],[Selling Price]]/(1-20%),100)-1)</f>
        <v>899</v>
      </c>
      <c r="V31">
        <f t="shared" si="12"/>
        <v>700</v>
      </c>
      <c r="W31" s="8">
        <v>325</v>
      </c>
      <c r="X31" t="s">
        <v>80</v>
      </c>
      <c r="Y31" t="s">
        <v>45</v>
      </c>
      <c r="Z31" s="6" t="str">
        <f t="shared" si="3"/>
        <v>VS-SHT-1PC-0030-MLT-26-01-FR.png</v>
      </c>
      <c r="AA31" s="6" t="str">
        <f t="shared" si="4"/>
        <v>VS-SHT-1PC-0030-MLT-26-02-SD.png</v>
      </c>
      <c r="AB31" s="6" t="str">
        <f t="shared" si="5"/>
        <v>VS-SHT-1PC-0030-MLT-26-03-BK.png</v>
      </c>
      <c r="AC31" s="6" t="str">
        <f t="shared" si="6"/>
        <v>VS-SHT-1PC-0030-MLT-26-04-CD.png</v>
      </c>
      <c r="AD31" s="6" t="str">
        <f t="shared" si="7"/>
        <v>VS-SHT-1PC-0030-MLT-26-05-WK.png</v>
      </c>
      <c r="AE31" s="6" t="str">
        <f t="shared" si="8"/>
        <v>VS-SHT-1PC-0030-MLT-26-06-ST.png</v>
      </c>
      <c r="AF31" s="6" t="str">
        <f t="shared" si="9"/>
        <v>VS-SHT-1PC-0030-MLT-26-FB.png</v>
      </c>
      <c r="AG31" s="6" t="str">
        <f t="shared" si="10"/>
        <v>VS-SHT-1PC-0030-MLT-26-DT.png</v>
      </c>
      <c r="AH31" s="6" t="str">
        <f t="shared" si="11"/>
        <v>VS-SHT-1PC-0030-MLT-26-REF-01.png</v>
      </c>
    </row>
    <row r="32" spans="1:34" ht="142.5">
      <c r="A32" s="9">
        <v>31</v>
      </c>
      <c r="B32" t="s">
        <v>156</v>
      </c>
      <c r="C32" s="4" t="str">
        <f>IFERROR(VLOOKUP(B32,'Code Lists'!$A:$B,2,FALSE),"")</f>
        <v>SHT</v>
      </c>
      <c r="D32" t="s">
        <v>55</v>
      </c>
      <c r="E32" t="s">
        <v>74</v>
      </c>
      <c r="F32" s="4" t="str">
        <f>IFERROR(VLOOKUP(E32,'Code Lists'!$D:$E,2,FALSE),"")</f>
        <v>RYN</v>
      </c>
      <c r="G32" t="s">
        <v>61</v>
      </c>
      <c r="H32" s="4" t="str">
        <f>IFERROR(VLOOKUP(G32,'Code Lists'!$G:$H,2,FALSE),"")</f>
        <v>WHT</v>
      </c>
      <c r="I32" t="s">
        <v>326</v>
      </c>
      <c r="J32" s="10">
        <v>2026</v>
      </c>
      <c r="K32" t="s">
        <v>127</v>
      </c>
      <c r="L32" t="s">
        <v>119</v>
      </c>
      <c r="M32" s="11" t="s">
        <v>385</v>
      </c>
      <c r="N32" t="s">
        <v>67</v>
      </c>
      <c r="O32">
        <v>1</v>
      </c>
      <c r="P32">
        <v>998822</v>
      </c>
      <c r="Q32" s="7">
        <f>IF(VedAarnaSKUMaster[[#This Row],[HSN/SAC Code]]=998822,5%,IF(VedAarnaSKUMaster[[#This Row],[HSN/SAC Code]]=998391,18%,IF(VedAarnaSKUMaster[[#This Row],[HSN/SAC Code]]=998723,5%,"")))</f>
        <v>0.05</v>
      </c>
      <c r="R32" s="5" t="str">
        <f t="shared" si="0"/>
        <v>VS-SHT-1PC-0031-WHT-26</v>
      </c>
      <c r="S32" s="5" t="str">
        <f t="shared" si="1"/>
        <v>VS-SHT-1PC-0031-RYN-WHT-M,L-26</v>
      </c>
      <c r="T32" s="11" t="s">
        <v>386</v>
      </c>
      <c r="U32" s="8">
        <f>IF(OR(VedAarnaSKUMaster[[#This Row],[Selling Price]]="",VedAarnaSKUMaster[[#This Row],[Selling Price]]=0),"",CEILING(VedAarnaSKUMaster[[#This Row],[Selling Price]]/(1-20%),100)-1)</f>
        <v>899</v>
      </c>
      <c r="V32">
        <f t="shared" si="12"/>
        <v>700</v>
      </c>
      <c r="W32" s="8">
        <v>325</v>
      </c>
      <c r="X32" t="s">
        <v>80</v>
      </c>
      <c r="Y32" t="s">
        <v>45</v>
      </c>
      <c r="Z32" s="6" t="str">
        <f t="shared" si="3"/>
        <v>VS-SHT-1PC-0031-WHT-26-01-FR.png</v>
      </c>
      <c r="AA32" s="6" t="str">
        <f t="shared" si="4"/>
        <v>VS-SHT-1PC-0031-WHT-26-02-SD.png</v>
      </c>
      <c r="AB32" s="6" t="str">
        <f t="shared" si="5"/>
        <v>VS-SHT-1PC-0031-WHT-26-03-BK.png</v>
      </c>
      <c r="AC32" s="6" t="str">
        <f t="shared" si="6"/>
        <v>VS-SHT-1PC-0031-WHT-26-04-CD.png</v>
      </c>
      <c r="AD32" s="6" t="str">
        <f t="shared" si="7"/>
        <v>VS-SHT-1PC-0031-WHT-26-05-WK.png</v>
      </c>
      <c r="AE32" s="6" t="str">
        <f t="shared" si="8"/>
        <v>VS-SHT-1PC-0031-WHT-26-06-ST.png</v>
      </c>
      <c r="AF32" s="6" t="str">
        <f t="shared" si="9"/>
        <v>VS-SHT-1PC-0031-WHT-26-FB.png</v>
      </c>
      <c r="AG32" s="6" t="str">
        <f t="shared" si="10"/>
        <v>VS-SHT-1PC-0031-WHT-26-DT.png</v>
      </c>
      <c r="AH32" s="6" t="str">
        <f t="shared" si="11"/>
        <v>VS-SHT-1PC-0031-WHT-26-REF-01.png</v>
      </c>
    </row>
    <row r="33" spans="1:34" ht="142.5">
      <c r="A33" s="9">
        <v>32</v>
      </c>
      <c r="B33" t="s">
        <v>156</v>
      </c>
      <c r="C33" s="4" t="str">
        <f>IFERROR(VLOOKUP(B33,'Code Lists'!$A:$B,2,FALSE),"")</f>
        <v>SHT</v>
      </c>
      <c r="D33" t="s">
        <v>55</v>
      </c>
      <c r="E33" t="s">
        <v>50</v>
      </c>
      <c r="F33" s="4" t="str">
        <f>IFERROR(VLOOKUP(E33,'Code Lists'!$D:$E,2,FALSE),"")</f>
        <v>CTN</v>
      </c>
      <c r="G33" t="s">
        <v>227</v>
      </c>
      <c r="H33" s="4" t="str">
        <f>IFERROR(VLOOKUP(G33,'Code Lists'!$G:$H,2,FALSE),"")</f>
        <v>NVY</v>
      </c>
      <c r="I33" t="s">
        <v>330</v>
      </c>
      <c r="J33" s="10">
        <v>2026</v>
      </c>
      <c r="K33" t="s">
        <v>378</v>
      </c>
      <c r="L33" t="s">
        <v>128</v>
      </c>
      <c r="M33" s="11" t="s">
        <v>387</v>
      </c>
      <c r="N33" t="s">
        <v>67</v>
      </c>
      <c r="O33">
        <v>4</v>
      </c>
      <c r="P33">
        <v>998822</v>
      </c>
      <c r="Q33" s="7">
        <f>IF(VedAarnaSKUMaster[[#This Row],[HSN/SAC Code]]=998822,5%,IF(VedAarnaSKUMaster[[#This Row],[HSN/SAC Code]]=998391,18%,IF(VedAarnaSKUMaster[[#This Row],[HSN/SAC Code]]=998723,5%,"")))</f>
        <v>0.05</v>
      </c>
      <c r="R33" s="5" t="str">
        <f t="shared" si="0"/>
        <v>VS-SHT-1PC-0032-NVY-26</v>
      </c>
      <c r="S33" s="5" t="str">
        <f t="shared" si="1"/>
        <v>VS-SHT-1PC-0032-CTN-NVY-M,L,XL,2XL-26</v>
      </c>
      <c r="T33" s="11" t="s">
        <v>388</v>
      </c>
      <c r="U33" s="8">
        <f>IF(OR(VedAarnaSKUMaster[[#This Row],[Selling Price]]="",VedAarnaSKUMaster[[#This Row],[Selling Price]]=0),"",CEILING(VedAarnaSKUMaster[[#This Row],[Selling Price]]/(1-20%),100)-1)</f>
        <v>899</v>
      </c>
      <c r="V33">
        <f t="shared" si="12"/>
        <v>700</v>
      </c>
      <c r="W33" s="8">
        <v>325</v>
      </c>
      <c r="X33" t="s">
        <v>80</v>
      </c>
      <c r="Y33" t="s">
        <v>45</v>
      </c>
      <c r="Z33" s="6" t="str">
        <f t="shared" si="3"/>
        <v>VS-SHT-1PC-0032-NVY-26-01-FR.png</v>
      </c>
      <c r="AA33" s="6" t="str">
        <f t="shared" si="4"/>
        <v>VS-SHT-1PC-0032-NVY-26-02-SD.png</v>
      </c>
      <c r="AB33" s="6" t="str">
        <f t="shared" si="5"/>
        <v>VS-SHT-1PC-0032-NVY-26-03-BK.png</v>
      </c>
      <c r="AC33" s="6" t="str">
        <f t="shared" si="6"/>
        <v>VS-SHT-1PC-0032-NVY-26-04-CD.png</v>
      </c>
      <c r="AD33" s="6" t="str">
        <f t="shared" si="7"/>
        <v>VS-SHT-1PC-0032-NVY-26-05-WK.png</v>
      </c>
      <c r="AE33" s="6" t="str">
        <f t="shared" si="8"/>
        <v>VS-SHT-1PC-0032-NVY-26-06-ST.png</v>
      </c>
      <c r="AF33" s="6" t="str">
        <f t="shared" si="9"/>
        <v>VS-SHT-1PC-0032-NVY-26-FB.png</v>
      </c>
      <c r="AG33" s="6" t="str">
        <f t="shared" si="10"/>
        <v>VS-SHT-1PC-0032-NVY-26-DT.png</v>
      </c>
      <c r="AH33" s="6" t="str">
        <f t="shared" si="11"/>
        <v>VS-SHT-1PC-0032-NVY-26-REF-01.png</v>
      </c>
    </row>
    <row r="34" spans="1:34" ht="142.5">
      <c r="A34" s="9">
        <v>33</v>
      </c>
      <c r="B34" t="s">
        <v>156</v>
      </c>
      <c r="C34" s="4" t="str">
        <f>IFERROR(VLOOKUP(B34,'Code Lists'!$A:$B,2,FALSE),"")</f>
        <v>SHT</v>
      </c>
      <c r="D34" t="s">
        <v>55</v>
      </c>
      <c r="E34" t="s">
        <v>50</v>
      </c>
      <c r="F34" s="4" t="str">
        <f>IFERROR(VLOOKUP(E34,'Code Lists'!$D:$E,2,FALSE),"")</f>
        <v>CTN</v>
      </c>
      <c r="G34" t="s">
        <v>115</v>
      </c>
      <c r="H34" s="4" t="str">
        <f>IFERROR(VLOOKUP(G34,'Code Lists'!$G:$H,2,FALSE),"")</f>
        <v>MRN</v>
      </c>
      <c r="I34" t="s">
        <v>330</v>
      </c>
      <c r="J34" s="10">
        <v>2026</v>
      </c>
      <c r="K34" t="s">
        <v>40</v>
      </c>
      <c r="L34" t="s">
        <v>66</v>
      </c>
      <c r="M34" s="11" t="s">
        <v>389</v>
      </c>
      <c r="N34" t="s">
        <v>67</v>
      </c>
      <c r="O34">
        <v>4</v>
      </c>
      <c r="P34">
        <v>998822</v>
      </c>
      <c r="Q34" s="7">
        <f>IF(VedAarnaSKUMaster[[#This Row],[HSN/SAC Code]]=998822,5%,IF(VedAarnaSKUMaster[[#This Row],[HSN/SAC Code]]=998391,18%,IF(VedAarnaSKUMaster[[#This Row],[HSN/SAC Code]]=998723,5%,"")))</f>
        <v>0.05</v>
      </c>
      <c r="R34" s="5" t="str">
        <f t="shared" si="0"/>
        <v>VS-SHT-1PC-0033-MRN-26</v>
      </c>
      <c r="S34" s="5" t="str">
        <f t="shared" si="1"/>
        <v>VS-SHT-1PC-0033-CTN-MRN-M,L,XL,2XL-26</v>
      </c>
      <c r="T34" s="11" t="s">
        <v>390</v>
      </c>
      <c r="U34" s="8">
        <f>IF(OR(VedAarnaSKUMaster[[#This Row],[Selling Price]]="",VedAarnaSKUMaster[[#This Row],[Selling Price]]=0),"",CEILING(VedAarnaSKUMaster[[#This Row],[Selling Price]]/(1-20%),100)-1)</f>
        <v>999</v>
      </c>
      <c r="V34">
        <f t="shared" si="12"/>
        <v>800</v>
      </c>
      <c r="W34" s="8">
        <v>420</v>
      </c>
      <c r="X34" t="s">
        <v>80</v>
      </c>
      <c r="Y34" t="s">
        <v>45</v>
      </c>
      <c r="Z34" s="6" t="str">
        <f t="shared" si="3"/>
        <v>VS-SHT-1PC-0033-MRN-26-01-FR.png</v>
      </c>
      <c r="AA34" s="6" t="str">
        <f t="shared" si="4"/>
        <v>VS-SHT-1PC-0033-MRN-26-02-SD.png</v>
      </c>
      <c r="AB34" s="6" t="str">
        <f t="shared" si="5"/>
        <v>VS-SHT-1PC-0033-MRN-26-03-BK.png</v>
      </c>
      <c r="AC34" s="6" t="str">
        <f t="shared" si="6"/>
        <v>VS-SHT-1PC-0033-MRN-26-04-CD.png</v>
      </c>
      <c r="AD34" s="6" t="str">
        <f t="shared" si="7"/>
        <v>VS-SHT-1PC-0033-MRN-26-05-WK.png</v>
      </c>
      <c r="AE34" s="6" t="str">
        <f t="shared" si="8"/>
        <v>VS-SHT-1PC-0033-MRN-26-06-ST.png</v>
      </c>
      <c r="AF34" s="6" t="str">
        <f t="shared" si="9"/>
        <v>VS-SHT-1PC-0033-MRN-26-FB.png</v>
      </c>
      <c r="AG34" s="6" t="str">
        <f t="shared" si="10"/>
        <v>VS-SHT-1PC-0033-MRN-26-DT.png</v>
      </c>
      <c r="AH34" s="6" t="str">
        <f t="shared" si="11"/>
        <v>VS-SHT-1PC-0033-MRN-26-REF-01.png</v>
      </c>
    </row>
    <row r="35" spans="1:34" ht="156.75">
      <c r="A35" s="9">
        <v>34</v>
      </c>
      <c r="B35" t="s">
        <v>156</v>
      </c>
      <c r="C35" s="4" t="str">
        <f>IFERROR(VLOOKUP(B35,'Code Lists'!$A:$B,2,FALSE),"")</f>
        <v>SHT</v>
      </c>
      <c r="D35" t="s">
        <v>55</v>
      </c>
      <c r="E35" t="s">
        <v>50</v>
      </c>
      <c r="F35" s="4" t="str">
        <f>IFERROR(VLOOKUP(E35,'Code Lists'!$D:$E,2,FALSE),"")</f>
        <v>CTN</v>
      </c>
      <c r="G35" t="s">
        <v>194</v>
      </c>
      <c r="H35" s="4" t="str">
        <f>IFERROR(VLOOKUP(G35,'Code Lists'!$G:$H,2,FALSE),"")</f>
        <v>MST</v>
      </c>
      <c r="I35" t="s">
        <v>330</v>
      </c>
      <c r="J35" s="10">
        <v>2026</v>
      </c>
      <c r="K35" t="s">
        <v>40</v>
      </c>
      <c r="L35" t="s">
        <v>66</v>
      </c>
      <c r="M35" s="11" t="s">
        <v>391</v>
      </c>
      <c r="N35" t="s">
        <v>67</v>
      </c>
      <c r="O35">
        <v>4</v>
      </c>
      <c r="P35">
        <v>998822</v>
      </c>
      <c r="Q35" s="7">
        <f>IF(VedAarnaSKUMaster[[#This Row],[HSN/SAC Code]]=998822,5%,IF(VedAarnaSKUMaster[[#This Row],[HSN/SAC Code]]=998391,18%,IF(VedAarnaSKUMaster[[#This Row],[HSN/SAC Code]]=998723,5%,"")))</f>
        <v>0.05</v>
      </c>
      <c r="R35" s="5" t="str">
        <f t="shared" si="0"/>
        <v>VS-SHT-1PC-0034-MST-26</v>
      </c>
      <c r="S35" s="5" t="str">
        <f t="shared" si="1"/>
        <v>VS-SHT-1PC-0034-CTN-MST-M,L,XL,2XL-26</v>
      </c>
      <c r="T35" s="11" t="s">
        <v>392</v>
      </c>
      <c r="U35" s="8">
        <f>IF(OR(VedAarnaSKUMaster[[#This Row],[Selling Price]]="",VedAarnaSKUMaster[[#This Row],[Selling Price]]=0),"",CEILING(VedAarnaSKUMaster[[#This Row],[Selling Price]]/(1-20%),100)-1)</f>
        <v>999</v>
      </c>
      <c r="V35">
        <f t="shared" si="12"/>
        <v>800</v>
      </c>
      <c r="W35" s="8">
        <v>420</v>
      </c>
      <c r="X35" t="s">
        <v>80</v>
      </c>
      <c r="Y35" t="s">
        <v>45</v>
      </c>
      <c r="Z35" s="6" t="str">
        <f t="shared" si="3"/>
        <v>VS-SHT-1PC-0034-MST-26-01-FR.png</v>
      </c>
      <c r="AA35" s="6" t="str">
        <f t="shared" si="4"/>
        <v>VS-SHT-1PC-0034-MST-26-02-SD.png</v>
      </c>
      <c r="AB35" s="6" t="str">
        <f t="shared" si="5"/>
        <v>VS-SHT-1PC-0034-MST-26-03-BK.png</v>
      </c>
      <c r="AC35" s="6" t="str">
        <f t="shared" si="6"/>
        <v>VS-SHT-1PC-0034-MST-26-04-CD.png</v>
      </c>
      <c r="AD35" s="6" t="str">
        <f t="shared" si="7"/>
        <v>VS-SHT-1PC-0034-MST-26-05-WK.png</v>
      </c>
      <c r="AE35" s="6" t="str">
        <f t="shared" si="8"/>
        <v>VS-SHT-1PC-0034-MST-26-06-ST.png</v>
      </c>
      <c r="AF35" s="6" t="str">
        <f t="shared" si="9"/>
        <v>VS-SHT-1PC-0034-MST-26-FB.png</v>
      </c>
      <c r="AG35" s="6" t="str">
        <f t="shared" si="10"/>
        <v>VS-SHT-1PC-0034-MST-26-DT.png</v>
      </c>
      <c r="AH35" s="6" t="str">
        <f t="shared" si="11"/>
        <v>VS-SHT-1PC-0034-MST-26-REF-01.png</v>
      </c>
    </row>
    <row r="36" spans="1:34">
      <c r="A36" s="9"/>
      <c r="C36" s="4" t="str">
        <f>IFERROR(VLOOKUP(B36,'Code Lists'!$A:$B,2,FALSE),"")</f>
        <v/>
      </c>
      <c r="F36" s="4" t="str">
        <f>IFERROR(VLOOKUP(E36,'Code Lists'!$D:$E,2,FALSE),"")</f>
        <v/>
      </c>
      <c r="H36" s="4" t="str">
        <f>IFERROR(VLOOKUP(G36,'Code Lists'!$G:$H,2,FALSE),"")</f>
        <v/>
      </c>
      <c r="J36" s="10"/>
      <c r="M36" s="11"/>
      <c r="Q36" s="7" t="str">
        <f>IF(VedAarnaSKUMaster[[#This Row],[HSN/SAC Code]]=998822,5%,IF(VedAarnaSKUMaster[[#This Row],[HSN/SAC Code]]=998391,18%,IF(VedAarnaSKUMaster[[#This Row],[HSN/SAC Code]]=998723,5%,"")))</f>
        <v/>
      </c>
      <c r="R36" s="5" t="str">
        <f t="shared" si="0"/>
        <v/>
      </c>
      <c r="S36" s="5" t="str">
        <f t="shared" si="1"/>
        <v/>
      </c>
      <c r="T36" s="11"/>
      <c r="U36" s="8" t="str">
        <f>IF(OR(VedAarnaSKUMaster[[#This Row],[Selling Price]]="",VedAarnaSKUMaster[[#This Row],[Selling Price]]=0),"",CEILING(VedAarnaSKUMaster[[#This Row],[Selling Price]]/(1-20%),100)-1)</f>
        <v/>
      </c>
      <c r="V36">
        <f t="shared" si="12"/>
        <v>0</v>
      </c>
      <c r="W36" s="8"/>
      <c r="Z36" s="6" t="str">
        <f t="shared" si="3"/>
        <v/>
      </c>
      <c r="AA36" s="6" t="str">
        <f t="shared" si="4"/>
        <v/>
      </c>
      <c r="AB36" s="6" t="str">
        <f t="shared" si="5"/>
        <v/>
      </c>
      <c r="AC36" s="6" t="str">
        <f t="shared" si="6"/>
        <v/>
      </c>
      <c r="AD36" s="6" t="str">
        <f t="shared" si="7"/>
        <v/>
      </c>
      <c r="AE36" s="6" t="str">
        <f t="shared" si="8"/>
        <v/>
      </c>
      <c r="AF36" s="6" t="str">
        <f t="shared" si="9"/>
        <v/>
      </c>
      <c r="AG36" s="6" t="str">
        <f t="shared" si="10"/>
        <v/>
      </c>
      <c r="AH36" s="6" t="str">
        <f t="shared" si="11"/>
        <v/>
      </c>
    </row>
    <row r="37" spans="1:34">
      <c r="A37" s="9"/>
      <c r="C37" s="4" t="str">
        <f>IFERROR(VLOOKUP(B37,'Code Lists'!$A:$B,2,FALSE),"")</f>
        <v/>
      </c>
      <c r="F37" s="4" t="str">
        <f>IFERROR(VLOOKUP(E37,'Code Lists'!$D:$E,2,FALSE),"")</f>
        <v/>
      </c>
      <c r="H37" s="4" t="str">
        <f>IFERROR(VLOOKUP(G37,'Code Lists'!$G:$H,2,FALSE),"")</f>
        <v/>
      </c>
      <c r="J37" s="10"/>
      <c r="M37" s="11"/>
      <c r="Q37" s="7" t="str">
        <f>IF(VedAarnaSKUMaster[[#This Row],[HSN/SAC Code]]=998822,5%,IF(VedAarnaSKUMaster[[#This Row],[HSN/SAC Code]]=998391,18%,IF(VedAarnaSKUMaster[[#This Row],[HSN/SAC Code]]=998723,5%,"")))</f>
        <v/>
      </c>
      <c r="R37" s="5" t="str">
        <f t="shared" si="0"/>
        <v/>
      </c>
      <c r="S37" s="5" t="str">
        <f t="shared" si="1"/>
        <v/>
      </c>
      <c r="T37" s="11"/>
      <c r="U37" s="8" t="str">
        <f>IF(OR(VedAarnaSKUMaster[[#This Row],[Selling Price]]="",VedAarnaSKUMaster[[#This Row],[Selling Price]]=0),"",CEILING(VedAarnaSKUMaster[[#This Row],[Selling Price]]/(1-20%),100)-1)</f>
        <v/>
      </c>
      <c r="V37">
        <f t="shared" si="12"/>
        <v>0</v>
      </c>
      <c r="W37" s="8"/>
      <c r="Z37" s="6" t="str">
        <f t="shared" si="3"/>
        <v/>
      </c>
      <c r="AA37" s="6" t="str">
        <f t="shared" si="4"/>
        <v/>
      </c>
      <c r="AB37" s="6" t="str">
        <f t="shared" si="5"/>
        <v/>
      </c>
      <c r="AC37" s="6" t="str">
        <f t="shared" si="6"/>
        <v/>
      </c>
      <c r="AD37" s="6" t="str">
        <f t="shared" si="7"/>
        <v/>
      </c>
      <c r="AE37" s="6" t="str">
        <f t="shared" si="8"/>
        <v/>
      </c>
      <c r="AF37" s="6" t="str">
        <f t="shared" si="9"/>
        <v/>
      </c>
      <c r="AG37" s="6" t="str">
        <f t="shared" si="10"/>
        <v/>
      </c>
      <c r="AH37" s="6" t="str">
        <f t="shared" si="11"/>
        <v/>
      </c>
    </row>
    <row r="38" spans="1:34">
      <c r="A38" s="9"/>
      <c r="C38" s="4" t="str">
        <f>IFERROR(VLOOKUP(B38,'Code Lists'!$A:$B,2,FALSE),"")</f>
        <v/>
      </c>
      <c r="F38" s="4" t="str">
        <f>IFERROR(VLOOKUP(E38,'Code Lists'!$D:$E,2,FALSE),"")</f>
        <v/>
      </c>
      <c r="H38" s="4" t="str">
        <f>IFERROR(VLOOKUP(G38,'Code Lists'!$G:$H,2,FALSE),"")</f>
        <v/>
      </c>
      <c r="J38" s="10"/>
      <c r="M38" s="11"/>
      <c r="Q38" s="7" t="str">
        <f>IF(VedAarnaSKUMaster[[#This Row],[HSN/SAC Code]]=998822,5%,IF(VedAarnaSKUMaster[[#This Row],[HSN/SAC Code]]=998391,18%,IF(VedAarnaSKUMaster[[#This Row],[HSN/SAC Code]]=998723,5%,"")))</f>
        <v/>
      </c>
      <c r="R38" s="5" t="str">
        <f t="shared" si="0"/>
        <v/>
      </c>
      <c r="S38" s="5" t="str">
        <f t="shared" si="1"/>
        <v/>
      </c>
      <c r="T38" s="11"/>
      <c r="U38" s="8" t="str">
        <f>IF(OR(VedAarnaSKUMaster[[#This Row],[Selling Price]]="",VedAarnaSKUMaster[[#This Row],[Selling Price]]=0),"",CEILING(VedAarnaSKUMaster[[#This Row],[Selling Price]]/(1-20%),100)-1)</f>
        <v/>
      </c>
      <c r="V38">
        <f t="shared" si="12"/>
        <v>0</v>
      </c>
      <c r="W38" s="8"/>
      <c r="Z38" s="6" t="str">
        <f t="shared" si="3"/>
        <v/>
      </c>
      <c r="AA38" s="6" t="str">
        <f t="shared" si="4"/>
        <v/>
      </c>
      <c r="AB38" s="6" t="str">
        <f t="shared" si="5"/>
        <v/>
      </c>
      <c r="AC38" s="6" t="str">
        <f t="shared" si="6"/>
        <v/>
      </c>
      <c r="AD38" s="6" t="str">
        <f t="shared" si="7"/>
        <v/>
      </c>
      <c r="AE38" s="6" t="str">
        <f t="shared" si="8"/>
        <v/>
      </c>
      <c r="AF38" s="6" t="str">
        <f t="shared" si="9"/>
        <v/>
      </c>
      <c r="AG38" s="6" t="str">
        <f t="shared" si="10"/>
        <v/>
      </c>
      <c r="AH38" s="6" t="str">
        <f t="shared" si="11"/>
        <v/>
      </c>
    </row>
    <row r="39" spans="1:34">
      <c r="A39" s="9"/>
      <c r="C39" s="4" t="str">
        <f>IFERROR(VLOOKUP(B39,'Code Lists'!$A:$B,2,FALSE),"")</f>
        <v/>
      </c>
      <c r="F39" s="4" t="str">
        <f>IFERROR(VLOOKUP(E39,'Code Lists'!$D:$E,2,FALSE),"")</f>
        <v/>
      </c>
      <c r="H39" s="4" t="str">
        <f>IFERROR(VLOOKUP(G39,'Code Lists'!$G:$H,2,FALSE),"")</f>
        <v/>
      </c>
      <c r="J39" s="10"/>
      <c r="M39" s="11"/>
      <c r="Q39" s="7" t="str">
        <f>IF(VedAarnaSKUMaster[[#This Row],[HSN/SAC Code]]=998822,5%,IF(VedAarnaSKUMaster[[#This Row],[HSN/SAC Code]]=998391,18%,IF(VedAarnaSKUMaster[[#This Row],[HSN/SAC Code]]=998723,5%,"")))</f>
        <v/>
      </c>
      <c r="R39" s="5" t="str">
        <f t="shared" si="0"/>
        <v/>
      </c>
      <c r="S39" s="5" t="str">
        <f t="shared" si="1"/>
        <v/>
      </c>
      <c r="T39" s="11"/>
      <c r="U39" s="8" t="str">
        <f>IF(OR(VedAarnaSKUMaster[[#This Row],[Selling Price]]="",VedAarnaSKUMaster[[#This Row],[Selling Price]]=0),"",CEILING(VedAarnaSKUMaster[[#This Row],[Selling Price]]/(1-20%),100)-1)</f>
        <v/>
      </c>
      <c r="V39">
        <f t="shared" si="12"/>
        <v>0</v>
      </c>
      <c r="W39" s="8"/>
      <c r="Z39" s="6" t="str">
        <f t="shared" si="3"/>
        <v/>
      </c>
      <c r="AA39" s="6" t="str">
        <f t="shared" si="4"/>
        <v/>
      </c>
      <c r="AB39" s="6" t="str">
        <f t="shared" si="5"/>
        <v/>
      </c>
      <c r="AC39" s="6" t="str">
        <f t="shared" si="6"/>
        <v/>
      </c>
      <c r="AD39" s="6" t="str">
        <f t="shared" si="7"/>
        <v/>
      </c>
      <c r="AE39" s="6" t="str">
        <f t="shared" si="8"/>
        <v/>
      </c>
      <c r="AF39" s="6" t="str">
        <f t="shared" si="9"/>
        <v/>
      </c>
      <c r="AG39" s="6" t="str">
        <f t="shared" si="10"/>
        <v/>
      </c>
      <c r="AH39" s="6" t="str">
        <f t="shared" si="11"/>
        <v/>
      </c>
    </row>
    <row r="40" spans="1:34">
      <c r="A40" s="9"/>
      <c r="C40" s="4" t="str">
        <f>IFERROR(VLOOKUP(B40,'Code Lists'!$A:$B,2,FALSE),"")</f>
        <v/>
      </c>
      <c r="F40" s="4" t="str">
        <f>IFERROR(VLOOKUP(E40,'Code Lists'!$D:$E,2,FALSE),"")</f>
        <v/>
      </c>
      <c r="H40" s="4" t="str">
        <f>IFERROR(VLOOKUP(G40,'Code Lists'!$G:$H,2,FALSE),"")</f>
        <v/>
      </c>
      <c r="J40" s="10"/>
      <c r="M40" s="11"/>
      <c r="Q40" s="7" t="str">
        <f>IF(VedAarnaSKUMaster[[#This Row],[HSN/SAC Code]]=998822,5%,IF(VedAarnaSKUMaster[[#This Row],[HSN/SAC Code]]=998391,18%,IF(VedAarnaSKUMaster[[#This Row],[HSN/SAC Code]]=998723,5%,"")))</f>
        <v/>
      </c>
      <c r="R40" s="5" t="str">
        <f t="shared" si="0"/>
        <v/>
      </c>
      <c r="S40" s="5" t="str">
        <f t="shared" si="1"/>
        <v/>
      </c>
      <c r="T40" s="11"/>
      <c r="U40" s="8" t="str">
        <f>IF(OR(VedAarnaSKUMaster[[#This Row],[Selling Price]]="",VedAarnaSKUMaster[[#This Row],[Selling Price]]=0),"",CEILING(VedAarnaSKUMaster[[#This Row],[Selling Price]]/(1-20%),100)-1)</f>
        <v/>
      </c>
      <c r="V40">
        <f t="shared" si="12"/>
        <v>0</v>
      </c>
      <c r="W40" s="8"/>
      <c r="Z40" s="6" t="str">
        <f t="shared" si="3"/>
        <v/>
      </c>
      <c r="AA40" s="6" t="str">
        <f t="shared" si="4"/>
        <v/>
      </c>
      <c r="AB40" s="6" t="str">
        <f t="shared" si="5"/>
        <v/>
      </c>
      <c r="AC40" s="6" t="str">
        <f t="shared" si="6"/>
        <v/>
      </c>
      <c r="AD40" s="6" t="str">
        <f t="shared" si="7"/>
        <v/>
      </c>
      <c r="AE40" s="6" t="str">
        <f t="shared" si="8"/>
        <v/>
      </c>
      <c r="AF40" s="6" t="str">
        <f t="shared" si="9"/>
        <v/>
      </c>
      <c r="AG40" s="6" t="str">
        <f t="shared" si="10"/>
        <v/>
      </c>
      <c r="AH40" s="6" t="str">
        <f t="shared" si="11"/>
        <v/>
      </c>
    </row>
    <row r="41" spans="1:34">
      <c r="A41" s="9"/>
      <c r="C41" s="4" t="str">
        <f>IFERROR(VLOOKUP(B41,'Code Lists'!$A:$B,2,FALSE),"")</f>
        <v/>
      </c>
      <c r="F41" s="4" t="str">
        <f>IFERROR(VLOOKUP(E41,'Code Lists'!$D:$E,2,FALSE),"")</f>
        <v/>
      </c>
      <c r="H41" s="4" t="str">
        <f>IFERROR(VLOOKUP(G41,'Code Lists'!$G:$H,2,FALSE),"")</f>
        <v/>
      </c>
      <c r="J41" s="10"/>
      <c r="M41" s="11"/>
      <c r="Q41" s="7" t="str">
        <f>IF(VedAarnaSKUMaster[[#This Row],[HSN/SAC Code]]=998822,5%,IF(VedAarnaSKUMaster[[#This Row],[HSN/SAC Code]]=998391,18%,IF(VedAarnaSKUMaster[[#This Row],[HSN/SAC Code]]=998723,5%,"")))</f>
        <v/>
      </c>
      <c r="R41" s="5" t="str">
        <f t="shared" si="0"/>
        <v/>
      </c>
      <c r="S41" s="5" t="str">
        <f t="shared" si="1"/>
        <v/>
      </c>
      <c r="T41" s="11"/>
      <c r="U41" s="8" t="str">
        <f>IF(OR(VedAarnaSKUMaster[[#This Row],[Selling Price]]="",VedAarnaSKUMaster[[#This Row],[Selling Price]]=0),"",CEILING(VedAarnaSKUMaster[[#This Row],[Selling Price]]/(1-20%),100)-1)</f>
        <v/>
      </c>
      <c r="V41">
        <f t="shared" si="12"/>
        <v>0</v>
      </c>
      <c r="W41" s="8"/>
      <c r="Z41" s="6" t="str">
        <f t="shared" si="3"/>
        <v/>
      </c>
      <c r="AA41" s="6" t="str">
        <f t="shared" si="4"/>
        <v/>
      </c>
      <c r="AB41" s="6" t="str">
        <f t="shared" si="5"/>
        <v/>
      </c>
      <c r="AC41" s="6" t="str">
        <f t="shared" si="6"/>
        <v/>
      </c>
      <c r="AD41" s="6" t="str">
        <f t="shared" si="7"/>
        <v/>
      </c>
      <c r="AE41" s="6" t="str">
        <f t="shared" si="8"/>
        <v/>
      </c>
      <c r="AF41" s="6" t="str">
        <f t="shared" si="9"/>
        <v/>
      </c>
      <c r="AG41" s="6" t="str">
        <f t="shared" si="10"/>
        <v/>
      </c>
      <c r="AH41" s="6" t="str">
        <f t="shared" si="11"/>
        <v/>
      </c>
    </row>
    <row r="42" spans="1:34">
      <c r="A42" s="9"/>
      <c r="C42" s="4" t="str">
        <f>IFERROR(VLOOKUP(B42,'Code Lists'!$A:$B,2,FALSE),"")</f>
        <v/>
      </c>
      <c r="F42" s="4" t="str">
        <f>IFERROR(VLOOKUP(E42,'Code Lists'!$D:$E,2,FALSE),"")</f>
        <v/>
      </c>
      <c r="H42" s="4" t="str">
        <f>IFERROR(VLOOKUP(G42,'Code Lists'!$G:$H,2,FALSE),"")</f>
        <v/>
      </c>
      <c r="J42" s="10"/>
      <c r="M42" s="11"/>
      <c r="Q42" s="7" t="str">
        <f>IF(VedAarnaSKUMaster[[#This Row],[HSN/SAC Code]]=998822,5%,IF(VedAarnaSKUMaster[[#This Row],[HSN/SAC Code]]=998391,18%,IF(VedAarnaSKUMaster[[#This Row],[HSN/SAC Code]]=998723,5%,"")))</f>
        <v/>
      </c>
      <c r="R42" s="5" t="str">
        <f t="shared" si="0"/>
        <v/>
      </c>
      <c r="S42" s="5" t="str">
        <f t="shared" si="1"/>
        <v/>
      </c>
      <c r="T42" s="11"/>
      <c r="U42" s="8" t="str">
        <f>IF(OR(VedAarnaSKUMaster[[#This Row],[Selling Price]]="",VedAarnaSKUMaster[[#This Row],[Selling Price]]=0),"",CEILING(VedAarnaSKUMaster[[#This Row],[Selling Price]]/(1-20%),100)-1)</f>
        <v/>
      </c>
      <c r="V42">
        <f t="shared" si="12"/>
        <v>0</v>
      </c>
      <c r="W42" s="8"/>
      <c r="Z42" s="6" t="str">
        <f t="shared" si="3"/>
        <v/>
      </c>
      <c r="AA42" s="6" t="str">
        <f t="shared" si="4"/>
        <v/>
      </c>
      <c r="AB42" s="6" t="str">
        <f t="shared" si="5"/>
        <v/>
      </c>
      <c r="AC42" s="6" t="str">
        <f t="shared" si="6"/>
        <v/>
      </c>
      <c r="AD42" s="6" t="str">
        <f t="shared" si="7"/>
        <v/>
      </c>
      <c r="AE42" s="6" t="str">
        <f t="shared" si="8"/>
        <v/>
      </c>
      <c r="AF42" s="6" t="str">
        <f t="shared" si="9"/>
        <v/>
      </c>
      <c r="AG42" s="6" t="str">
        <f t="shared" si="10"/>
        <v/>
      </c>
      <c r="AH42" s="6" t="str">
        <f t="shared" si="11"/>
        <v/>
      </c>
    </row>
    <row r="43" spans="1:34">
      <c r="A43" s="9"/>
      <c r="C43" s="4" t="str">
        <f>IFERROR(VLOOKUP(B43,'Code Lists'!$A:$B,2,FALSE),"")</f>
        <v/>
      </c>
      <c r="F43" s="4" t="str">
        <f>IFERROR(VLOOKUP(E43,'Code Lists'!$D:$E,2,FALSE),"")</f>
        <v/>
      </c>
      <c r="H43" s="4" t="str">
        <f>IFERROR(VLOOKUP(G43,'Code Lists'!$G:$H,2,FALSE),"")</f>
        <v/>
      </c>
      <c r="J43" s="10"/>
      <c r="M43" s="11"/>
      <c r="Q43" s="7" t="str">
        <f>IF(VedAarnaSKUMaster[[#This Row],[HSN/SAC Code]]=998822,5%,IF(VedAarnaSKUMaster[[#This Row],[HSN/SAC Code]]=998391,18%,IF(VedAarnaSKUMaster[[#This Row],[HSN/SAC Code]]=998723,5%,"")))</f>
        <v/>
      </c>
      <c r="R43" s="5" t="str">
        <f t="shared" si="0"/>
        <v/>
      </c>
      <c r="S43" s="5" t="str">
        <f t="shared" si="1"/>
        <v/>
      </c>
      <c r="T43" s="11"/>
      <c r="U43" s="8" t="str">
        <f>IF(OR(VedAarnaSKUMaster[[#This Row],[Selling Price]]="",VedAarnaSKUMaster[[#This Row],[Selling Price]]=0),"",CEILING(VedAarnaSKUMaster[[#This Row],[Selling Price]]/(1-20%),100)-1)</f>
        <v/>
      </c>
      <c r="V43">
        <f t="shared" si="12"/>
        <v>0</v>
      </c>
      <c r="W43" s="8"/>
      <c r="Z43" s="6" t="str">
        <f t="shared" si="3"/>
        <v/>
      </c>
      <c r="AA43" s="6" t="str">
        <f t="shared" si="4"/>
        <v/>
      </c>
      <c r="AB43" s="6" t="str">
        <f t="shared" si="5"/>
        <v/>
      </c>
      <c r="AC43" s="6" t="str">
        <f t="shared" si="6"/>
        <v/>
      </c>
      <c r="AD43" s="6" t="str">
        <f t="shared" si="7"/>
        <v/>
      </c>
      <c r="AE43" s="6" t="str">
        <f t="shared" si="8"/>
        <v/>
      </c>
      <c r="AF43" s="6" t="str">
        <f t="shared" si="9"/>
        <v/>
      </c>
      <c r="AG43" s="6" t="str">
        <f t="shared" si="10"/>
        <v/>
      </c>
      <c r="AH43" s="6" t="str">
        <f t="shared" si="11"/>
        <v/>
      </c>
    </row>
    <row r="44" spans="1:34">
      <c r="A44" s="9"/>
      <c r="C44" s="4" t="str">
        <f>IFERROR(VLOOKUP(B44,'Code Lists'!$A:$B,2,FALSE),"")</f>
        <v/>
      </c>
      <c r="F44" s="4" t="str">
        <f>IFERROR(VLOOKUP(E44,'Code Lists'!$D:$E,2,FALSE),"")</f>
        <v/>
      </c>
      <c r="H44" s="4" t="str">
        <f>IFERROR(VLOOKUP(G44,'Code Lists'!$G:$H,2,FALSE),"")</f>
        <v/>
      </c>
      <c r="J44" s="10"/>
      <c r="M44" s="11"/>
      <c r="Q44" s="7" t="str">
        <f>IF(VedAarnaSKUMaster[[#This Row],[HSN/SAC Code]]=998822,5%,IF(VedAarnaSKUMaster[[#This Row],[HSN/SAC Code]]=998391,18%,IF(VedAarnaSKUMaster[[#This Row],[HSN/SAC Code]]=998723,5%,"")))</f>
        <v/>
      </c>
      <c r="R44" s="5" t="str">
        <f t="shared" si="0"/>
        <v/>
      </c>
      <c r="S44" s="5" t="str">
        <f t="shared" si="1"/>
        <v/>
      </c>
      <c r="T44" s="11"/>
      <c r="U44" s="8" t="str">
        <f>IF(OR(VedAarnaSKUMaster[[#This Row],[Selling Price]]="",VedAarnaSKUMaster[[#This Row],[Selling Price]]=0),"",CEILING(VedAarnaSKUMaster[[#This Row],[Selling Price]]/(1-20%),100)-1)</f>
        <v/>
      </c>
      <c r="V44">
        <f t="shared" si="12"/>
        <v>0</v>
      </c>
      <c r="W44" s="8"/>
      <c r="Z44" s="6" t="str">
        <f t="shared" si="3"/>
        <v/>
      </c>
      <c r="AA44" s="6" t="str">
        <f t="shared" si="4"/>
        <v/>
      </c>
      <c r="AB44" s="6" t="str">
        <f t="shared" si="5"/>
        <v/>
      </c>
      <c r="AC44" s="6" t="str">
        <f t="shared" si="6"/>
        <v/>
      </c>
      <c r="AD44" s="6" t="str">
        <f t="shared" si="7"/>
        <v/>
      </c>
      <c r="AE44" s="6" t="str">
        <f t="shared" si="8"/>
        <v/>
      </c>
      <c r="AF44" s="6" t="str">
        <f t="shared" si="9"/>
        <v/>
      </c>
      <c r="AG44" s="6" t="str">
        <f t="shared" si="10"/>
        <v/>
      </c>
      <c r="AH44" s="6" t="str">
        <f t="shared" si="11"/>
        <v/>
      </c>
    </row>
    <row r="45" spans="1:34">
      <c r="A45" s="9"/>
      <c r="C45" s="4" t="str">
        <f>IFERROR(VLOOKUP(B45,'Code Lists'!$A:$B,2,FALSE),"")</f>
        <v/>
      </c>
      <c r="F45" s="4" t="str">
        <f>IFERROR(VLOOKUP(E45,'Code Lists'!$D:$E,2,FALSE),"")</f>
        <v/>
      </c>
      <c r="H45" s="4" t="str">
        <f>IFERROR(VLOOKUP(G45,'Code Lists'!$G:$H,2,FALSE),"")</f>
        <v/>
      </c>
      <c r="J45" s="10"/>
      <c r="M45" s="11"/>
      <c r="Q45" s="7" t="str">
        <f>IF(VedAarnaSKUMaster[[#This Row],[HSN/SAC Code]]=998822,5%,IF(VedAarnaSKUMaster[[#This Row],[HSN/SAC Code]]=998391,18%,IF(VedAarnaSKUMaster[[#This Row],[HSN/SAC Code]]=998723,5%,"")))</f>
        <v/>
      </c>
      <c r="R45" s="5" t="str">
        <f t="shared" si="0"/>
        <v/>
      </c>
      <c r="S45" s="5" t="str">
        <f t="shared" si="1"/>
        <v/>
      </c>
      <c r="T45" s="11"/>
      <c r="U45" s="8" t="str">
        <f>IF(OR(VedAarnaSKUMaster[[#This Row],[Selling Price]]="",VedAarnaSKUMaster[[#This Row],[Selling Price]]=0),"",CEILING(VedAarnaSKUMaster[[#This Row],[Selling Price]]/(1-20%),100)-1)</f>
        <v/>
      </c>
      <c r="V45">
        <f t="shared" si="12"/>
        <v>0</v>
      </c>
      <c r="W45" s="8"/>
      <c r="Z45" s="6" t="str">
        <f t="shared" si="3"/>
        <v/>
      </c>
      <c r="AA45" s="6" t="str">
        <f t="shared" si="4"/>
        <v/>
      </c>
      <c r="AB45" s="6" t="str">
        <f t="shared" si="5"/>
        <v/>
      </c>
      <c r="AC45" s="6" t="str">
        <f t="shared" si="6"/>
        <v/>
      </c>
      <c r="AD45" s="6" t="str">
        <f t="shared" si="7"/>
        <v/>
      </c>
      <c r="AE45" s="6" t="str">
        <f t="shared" si="8"/>
        <v/>
      </c>
      <c r="AF45" s="6" t="str">
        <f t="shared" si="9"/>
        <v/>
      </c>
      <c r="AG45" s="6" t="str">
        <f t="shared" si="10"/>
        <v/>
      </c>
      <c r="AH45" s="6" t="str">
        <f t="shared" si="11"/>
        <v/>
      </c>
    </row>
    <row r="46" spans="1:34">
      <c r="A46" s="9"/>
      <c r="C46" s="4" t="str">
        <f>IFERROR(VLOOKUP(B46,'Code Lists'!$A:$B,2,FALSE),"")</f>
        <v/>
      </c>
      <c r="F46" s="4" t="str">
        <f>IFERROR(VLOOKUP(E46,'Code Lists'!$D:$E,2,FALSE),"")</f>
        <v/>
      </c>
      <c r="H46" s="4" t="str">
        <f>IFERROR(VLOOKUP(G46,'Code Lists'!$G:$H,2,FALSE),"")</f>
        <v/>
      </c>
      <c r="J46" s="10"/>
      <c r="M46" s="11"/>
      <c r="Q46" s="7" t="str">
        <f>IF(VedAarnaSKUMaster[[#This Row],[HSN/SAC Code]]=998822,5%,IF(VedAarnaSKUMaster[[#This Row],[HSN/SAC Code]]=998391,18%,IF(VedAarnaSKUMaster[[#This Row],[HSN/SAC Code]]=998723,5%,"")))</f>
        <v/>
      </c>
      <c r="R46" s="5" t="str">
        <f t="shared" si="0"/>
        <v/>
      </c>
      <c r="S46" s="5" t="str">
        <f t="shared" si="1"/>
        <v/>
      </c>
      <c r="T46" s="11"/>
      <c r="U46" s="8" t="str">
        <f>IF(OR(VedAarnaSKUMaster[[#This Row],[Selling Price]]="",VedAarnaSKUMaster[[#This Row],[Selling Price]]=0),"",CEILING(VedAarnaSKUMaster[[#This Row],[Selling Price]]/(1-20%),100)-1)</f>
        <v/>
      </c>
      <c r="V46">
        <f t="shared" si="12"/>
        <v>0</v>
      </c>
      <c r="W46" s="8"/>
      <c r="Z46" s="6" t="str">
        <f t="shared" si="3"/>
        <v/>
      </c>
      <c r="AA46" s="6" t="str">
        <f t="shared" si="4"/>
        <v/>
      </c>
      <c r="AB46" s="6" t="str">
        <f t="shared" si="5"/>
        <v/>
      </c>
      <c r="AC46" s="6" t="str">
        <f t="shared" si="6"/>
        <v/>
      </c>
      <c r="AD46" s="6" t="str">
        <f t="shared" si="7"/>
        <v/>
      </c>
      <c r="AE46" s="6" t="str">
        <f t="shared" si="8"/>
        <v/>
      </c>
      <c r="AF46" s="6" t="str">
        <f t="shared" si="9"/>
        <v/>
      </c>
      <c r="AG46" s="6" t="str">
        <f t="shared" si="10"/>
        <v/>
      </c>
      <c r="AH46" s="6" t="str">
        <f t="shared" si="11"/>
        <v/>
      </c>
    </row>
    <row r="47" spans="1:34">
      <c r="A47" s="9"/>
      <c r="C47" s="4" t="str">
        <f>IFERROR(VLOOKUP(B47,'Code Lists'!$A:$B,2,FALSE),"")</f>
        <v/>
      </c>
      <c r="F47" s="4" t="str">
        <f>IFERROR(VLOOKUP(E47,'Code Lists'!$D:$E,2,FALSE),"")</f>
        <v/>
      </c>
      <c r="H47" s="4" t="str">
        <f>IFERROR(VLOOKUP(G47,'Code Lists'!$G:$H,2,FALSE),"")</f>
        <v/>
      </c>
      <c r="J47" s="10"/>
      <c r="M47" s="11"/>
      <c r="Q47" s="7" t="str">
        <f>IF(VedAarnaSKUMaster[[#This Row],[HSN/SAC Code]]=998822,5%,IF(VedAarnaSKUMaster[[#This Row],[HSN/SAC Code]]=998391,18%,IF(VedAarnaSKUMaster[[#This Row],[HSN/SAC Code]]=998723,5%,"")))</f>
        <v/>
      </c>
      <c r="R47" s="5" t="str">
        <f t="shared" si="0"/>
        <v/>
      </c>
      <c r="S47" s="5" t="str">
        <f t="shared" si="1"/>
        <v/>
      </c>
      <c r="T47" s="11"/>
      <c r="U47" s="8" t="str">
        <f>IF(OR(VedAarnaSKUMaster[[#This Row],[Selling Price]]="",VedAarnaSKUMaster[[#This Row],[Selling Price]]=0),"",CEILING(VedAarnaSKUMaster[[#This Row],[Selling Price]]/(1-20%),100)-1)</f>
        <v/>
      </c>
      <c r="V47">
        <f t="shared" si="12"/>
        <v>0</v>
      </c>
      <c r="W47" s="8"/>
      <c r="Z47" s="6" t="str">
        <f t="shared" si="3"/>
        <v/>
      </c>
      <c r="AA47" s="6" t="str">
        <f t="shared" si="4"/>
        <v/>
      </c>
      <c r="AB47" s="6" t="str">
        <f t="shared" si="5"/>
        <v/>
      </c>
      <c r="AC47" s="6" t="str">
        <f t="shared" si="6"/>
        <v/>
      </c>
      <c r="AD47" s="6" t="str">
        <f t="shared" si="7"/>
        <v/>
      </c>
      <c r="AE47" s="6" t="str">
        <f t="shared" si="8"/>
        <v/>
      </c>
      <c r="AF47" s="6" t="str">
        <f t="shared" si="9"/>
        <v/>
      </c>
      <c r="AG47" s="6" t="str">
        <f t="shared" si="10"/>
        <v/>
      </c>
      <c r="AH47" s="6" t="str">
        <f t="shared" si="11"/>
        <v/>
      </c>
    </row>
    <row r="48" spans="1:34">
      <c r="A48" s="9"/>
      <c r="C48" s="4" t="str">
        <f>IFERROR(VLOOKUP(B48,'Code Lists'!$A:$B,2,FALSE),"")</f>
        <v/>
      </c>
      <c r="F48" s="4" t="str">
        <f>IFERROR(VLOOKUP(E48,'Code Lists'!$D:$E,2,FALSE),"")</f>
        <v/>
      </c>
      <c r="H48" s="4" t="str">
        <f>IFERROR(VLOOKUP(G48,'Code Lists'!$G:$H,2,FALSE),"")</f>
        <v/>
      </c>
      <c r="J48" s="10"/>
      <c r="M48" s="11"/>
      <c r="Q48" s="7" t="str">
        <f>IF(VedAarnaSKUMaster[[#This Row],[HSN/SAC Code]]=998822,5%,IF(VedAarnaSKUMaster[[#This Row],[HSN/SAC Code]]=998391,18%,IF(VedAarnaSKUMaster[[#This Row],[HSN/SAC Code]]=998723,5%,"")))</f>
        <v/>
      </c>
      <c r="R48" s="5" t="str">
        <f t="shared" si="0"/>
        <v/>
      </c>
      <c r="S48" s="5" t="str">
        <f t="shared" si="1"/>
        <v/>
      </c>
      <c r="T48" s="11"/>
      <c r="U48" s="8" t="str">
        <f>IF(OR(VedAarnaSKUMaster[[#This Row],[Selling Price]]="",VedAarnaSKUMaster[[#This Row],[Selling Price]]=0),"",CEILING(VedAarnaSKUMaster[[#This Row],[Selling Price]]/(1-20%),100)-1)</f>
        <v/>
      </c>
      <c r="V48">
        <f t="shared" si="12"/>
        <v>0</v>
      </c>
      <c r="W48" s="8"/>
      <c r="Z48" s="6" t="str">
        <f t="shared" si="3"/>
        <v/>
      </c>
      <c r="AA48" s="6" t="str">
        <f t="shared" si="4"/>
        <v/>
      </c>
      <c r="AB48" s="6" t="str">
        <f t="shared" si="5"/>
        <v/>
      </c>
      <c r="AC48" s="6" t="str">
        <f t="shared" si="6"/>
        <v/>
      </c>
      <c r="AD48" s="6" t="str">
        <f t="shared" si="7"/>
        <v/>
      </c>
      <c r="AE48" s="6" t="str">
        <f t="shared" si="8"/>
        <v/>
      </c>
      <c r="AF48" s="6" t="str">
        <f t="shared" si="9"/>
        <v/>
      </c>
      <c r="AG48" s="6" t="str">
        <f t="shared" si="10"/>
        <v/>
      </c>
      <c r="AH48" s="6" t="str">
        <f t="shared" si="11"/>
        <v/>
      </c>
    </row>
    <row r="49" spans="1:34">
      <c r="A49" s="9"/>
      <c r="C49" s="4" t="str">
        <f>IFERROR(VLOOKUP(B49,'Code Lists'!$A:$B,2,FALSE),"")</f>
        <v/>
      </c>
      <c r="F49" s="4" t="str">
        <f>IFERROR(VLOOKUP(E49,'Code Lists'!$D:$E,2,FALSE),"")</f>
        <v/>
      </c>
      <c r="H49" s="4" t="str">
        <f>IFERROR(VLOOKUP(G49,'Code Lists'!$G:$H,2,FALSE),"")</f>
        <v/>
      </c>
      <c r="J49" s="10"/>
      <c r="M49" s="11"/>
      <c r="Q49" s="7" t="str">
        <f>IF(VedAarnaSKUMaster[[#This Row],[HSN/SAC Code]]=998822,5%,IF(VedAarnaSKUMaster[[#This Row],[HSN/SAC Code]]=998391,18%,IF(VedAarnaSKUMaster[[#This Row],[HSN/SAC Code]]=998723,5%,"")))</f>
        <v/>
      </c>
      <c r="R49" s="5" t="str">
        <f t="shared" si="0"/>
        <v/>
      </c>
      <c r="S49" s="5" t="str">
        <f t="shared" si="1"/>
        <v/>
      </c>
      <c r="T49" s="11"/>
      <c r="U49" s="8" t="str">
        <f>IF(OR(VedAarnaSKUMaster[[#This Row],[Selling Price]]="",VedAarnaSKUMaster[[#This Row],[Selling Price]]=0),"",CEILING(VedAarnaSKUMaster[[#This Row],[Selling Price]]/(1-20%),100)-1)</f>
        <v/>
      </c>
      <c r="V49">
        <f t="shared" si="12"/>
        <v>0</v>
      </c>
      <c r="W49" s="8"/>
      <c r="Z49" s="6" t="str">
        <f t="shared" si="3"/>
        <v/>
      </c>
      <c r="AA49" s="6" t="str">
        <f t="shared" si="4"/>
        <v/>
      </c>
      <c r="AB49" s="6" t="str">
        <f t="shared" si="5"/>
        <v/>
      </c>
      <c r="AC49" s="6" t="str">
        <f t="shared" si="6"/>
        <v/>
      </c>
      <c r="AD49" s="6" t="str">
        <f t="shared" si="7"/>
        <v/>
      </c>
      <c r="AE49" s="6" t="str">
        <f t="shared" si="8"/>
        <v/>
      </c>
      <c r="AF49" s="6" t="str">
        <f t="shared" si="9"/>
        <v/>
      </c>
      <c r="AG49" s="6" t="str">
        <f t="shared" si="10"/>
        <v/>
      </c>
      <c r="AH49" s="6" t="str">
        <f t="shared" si="11"/>
        <v/>
      </c>
    </row>
    <row r="50" spans="1:34">
      <c r="A50" s="9"/>
      <c r="C50" s="4" t="str">
        <f>IFERROR(VLOOKUP(B50,'Code Lists'!$A:$B,2,FALSE),"")</f>
        <v/>
      </c>
      <c r="F50" s="4" t="str">
        <f>IFERROR(VLOOKUP(E50,'Code Lists'!$D:$E,2,FALSE),"")</f>
        <v/>
      </c>
      <c r="H50" s="4" t="str">
        <f>IFERROR(VLOOKUP(G50,'Code Lists'!$G:$H,2,FALSE),"")</f>
        <v/>
      </c>
      <c r="J50" s="10"/>
      <c r="M50" s="11"/>
      <c r="Q50" s="7" t="str">
        <f>IF(VedAarnaSKUMaster[[#This Row],[HSN/SAC Code]]=998822,5%,IF(VedAarnaSKUMaster[[#This Row],[HSN/SAC Code]]=998391,18%,IF(VedAarnaSKUMaster[[#This Row],[HSN/SAC Code]]=998723,5%,"")))</f>
        <v/>
      </c>
      <c r="R50" s="5" t="str">
        <f t="shared" si="0"/>
        <v/>
      </c>
      <c r="S50" s="5" t="str">
        <f t="shared" si="1"/>
        <v/>
      </c>
      <c r="T50" s="11"/>
      <c r="U50" s="8" t="str">
        <f>IF(OR(VedAarnaSKUMaster[[#This Row],[Selling Price]]="",VedAarnaSKUMaster[[#This Row],[Selling Price]]=0),"",CEILING(VedAarnaSKUMaster[[#This Row],[Selling Price]]/(1-20%),100)-1)</f>
        <v/>
      </c>
      <c r="V50">
        <f t="shared" si="12"/>
        <v>0</v>
      </c>
      <c r="W50" s="8"/>
      <c r="Z50" s="6" t="str">
        <f t="shared" si="3"/>
        <v/>
      </c>
      <c r="AA50" s="6" t="str">
        <f t="shared" si="4"/>
        <v/>
      </c>
      <c r="AB50" s="6" t="str">
        <f t="shared" si="5"/>
        <v/>
      </c>
      <c r="AC50" s="6" t="str">
        <f t="shared" si="6"/>
        <v/>
      </c>
      <c r="AD50" s="6" t="str">
        <f t="shared" si="7"/>
        <v/>
      </c>
      <c r="AE50" s="6" t="str">
        <f t="shared" si="8"/>
        <v/>
      </c>
      <c r="AF50" s="6" t="str">
        <f t="shared" si="9"/>
        <v/>
      </c>
      <c r="AG50" s="6" t="str">
        <f t="shared" si="10"/>
        <v/>
      </c>
      <c r="AH50" s="6" t="str">
        <f t="shared" si="11"/>
        <v/>
      </c>
    </row>
    <row r="51" spans="1:34">
      <c r="A51" s="9"/>
      <c r="C51" s="4" t="str">
        <f>IFERROR(VLOOKUP(B51,'Code Lists'!$A:$B,2,FALSE),"")</f>
        <v/>
      </c>
      <c r="F51" s="4" t="str">
        <f>IFERROR(VLOOKUP(E51,'Code Lists'!$D:$E,2,FALSE),"")</f>
        <v/>
      </c>
      <c r="H51" s="4" t="str">
        <f>IFERROR(VLOOKUP(G51,'Code Lists'!$G:$H,2,FALSE),"")</f>
        <v/>
      </c>
      <c r="J51" s="10"/>
      <c r="M51" s="11"/>
      <c r="Q51" s="7" t="str">
        <f>IF(VedAarnaSKUMaster[[#This Row],[HSN/SAC Code]]=998822,5%,IF(VedAarnaSKUMaster[[#This Row],[HSN/SAC Code]]=998391,18%,IF(VedAarnaSKUMaster[[#This Row],[HSN/SAC Code]]=998723,5%,"")))</f>
        <v/>
      </c>
      <c r="R51" s="5" t="str">
        <f t="shared" si="0"/>
        <v/>
      </c>
      <c r="S51" s="5" t="str">
        <f t="shared" si="1"/>
        <v/>
      </c>
      <c r="T51" s="11"/>
      <c r="U51" s="8" t="str">
        <f>IF(OR(VedAarnaSKUMaster[[#This Row],[Selling Price]]="",VedAarnaSKUMaster[[#This Row],[Selling Price]]=0),"",CEILING(VedAarnaSKUMaster[[#This Row],[Selling Price]]/(1-20%),100)-1)</f>
        <v/>
      </c>
      <c r="V51">
        <f t="shared" si="12"/>
        <v>0</v>
      </c>
      <c r="W51" s="8"/>
      <c r="Z51" s="6" t="str">
        <f t="shared" si="3"/>
        <v/>
      </c>
      <c r="AA51" s="6" t="str">
        <f t="shared" si="4"/>
        <v/>
      </c>
      <c r="AB51" s="6" t="str">
        <f t="shared" si="5"/>
        <v/>
      </c>
      <c r="AC51" s="6" t="str">
        <f t="shared" si="6"/>
        <v/>
      </c>
      <c r="AD51" s="6" t="str">
        <f t="shared" si="7"/>
        <v/>
      </c>
      <c r="AE51" s="6" t="str">
        <f t="shared" si="8"/>
        <v/>
      </c>
      <c r="AF51" s="6" t="str">
        <f t="shared" si="9"/>
        <v/>
      </c>
      <c r="AG51" s="6" t="str">
        <f t="shared" si="10"/>
        <v/>
      </c>
      <c r="AH51" s="6" t="str">
        <f t="shared" si="11"/>
        <v/>
      </c>
    </row>
    <row r="52" spans="1:34">
      <c r="A52" s="9"/>
      <c r="C52" s="4" t="str">
        <f>IFERROR(VLOOKUP(B52,'Code Lists'!$A:$B,2,FALSE),"")</f>
        <v/>
      </c>
      <c r="F52" s="4" t="str">
        <f>IFERROR(VLOOKUP(E52,'Code Lists'!$D:$E,2,FALSE),"")</f>
        <v/>
      </c>
      <c r="H52" s="4" t="str">
        <f>IFERROR(VLOOKUP(G52,'Code Lists'!$G:$H,2,FALSE),"")</f>
        <v/>
      </c>
      <c r="J52" s="10"/>
      <c r="M52" s="11"/>
      <c r="Q52" s="7" t="str">
        <f>IF(VedAarnaSKUMaster[[#This Row],[HSN/SAC Code]]=998822,5%,IF(VedAarnaSKUMaster[[#This Row],[HSN/SAC Code]]=998391,18%,IF(VedAarnaSKUMaster[[#This Row],[HSN/SAC Code]]=998723,5%,"")))</f>
        <v/>
      </c>
      <c r="R52" s="5" t="str">
        <f t="shared" si="0"/>
        <v/>
      </c>
      <c r="S52" s="5" t="str">
        <f t="shared" si="1"/>
        <v/>
      </c>
      <c r="T52" s="11"/>
      <c r="U52" s="8" t="str">
        <f>IF(OR(VedAarnaSKUMaster[[#This Row],[Selling Price]]="",VedAarnaSKUMaster[[#This Row],[Selling Price]]=0),"",CEILING(VedAarnaSKUMaster[[#This Row],[Selling Price]]/(1-20%),100)-1)</f>
        <v/>
      </c>
      <c r="V52">
        <f t="shared" si="12"/>
        <v>0</v>
      </c>
      <c r="W52" s="8"/>
      <c r="Z52" s="6" t="str">
        <f t="shared" si="3"/>
        <v/>
      </c>
      <c r="AA52" s="6" t="str">
        <f t="shared" si="4"/>
        <v/>
      </c>
      <c r="AB52" s="6" t="str">
        <f t="shared" si="5"/>
        <v/>
      </c>
      <c r="AC52" s="6" t="str">
        <f t="shared" si="6"/>
        <v/>
      </c>
      <c r="AD52" s="6" t="str">
        <f t="shared" si="7"/>
        <v/>
      </c>
      <c r="AE52" s="6" t="str">
        <f t="shared" si="8"/>
        <v/>
      </c>
      <c r="AF52" s="6" t="str">
        <f t="shared" si="9"/>
        <v/>
      </c>
      <c r="AG52" s="6" t="str">
        <f t="shared" si="10"/>
        <v/>
      </c>
      <c r="AH52" s="6" t="str">
        <f t="shared" si="11"/>
        <v/>
      </c>
    </row>
    <row r="53" spans="1:34">
      <c r="A53" s="9"/>
      <c r="C53" s="4" t="str">
        <f>IFERROR(VLOOKUP(B53,'Code Lists'!$A:$B,2,FALSE),"")</f>
        <v/>
      </c>
      <c r="F53" s="4" t="str">
        <f>IFERROR(VLOOKUP(E53,'Code Lists'!$D:$E,2,FALSE),"")</f>
        <v/>
      </c>
      <c r="H53" s="4" t="str">
        <f>IFERROR(VLOOKUP(G53,'Code Lists'!$G:$H,2,FALSE),"")</f>
        <v/>
      </c>
      <c r="J53" s="10"/>
      <c r="M53" s="11"/>
      <c r="Q53" s="7" t="str">
        <f>IF(VedAarnaSKUMaster[[#This Row],[HSN/SAC Code]]=998822,5%,IF(VedAarnaSKUMaster[[#This Row],[HSN/SAC Code]]=998391,18%,IF(VedAarnaSKUMaster[[#This Row],[HSN/SAC Code]]=998723,5%,"")))</f>
        <v/>
      </c>
      <c r="R53" s="5" t="str">
        <f t="shared" si="0"/>
        <v/>
      </c>
      <c r="S53" s="5" t="str">
        <f t="shared" si="1"/>
        <v/>
      </c>
      <c r="T53" s="11"/>
      <c r="U53" s="8" t="str">
        <f>IF(OR(VedAarnaSKUMaster[[#This Row],[Selling Price]]="",VedAarnaSKUMaster[[#This Row],[Selling Price]]=0),"",CEILING(VedAarnaSKUMaster[[#This Row],[Selling Price]]/(1-20%),100)-1)</f>
        <v/>
      </c>
      <c r="V53">
        <f t="shared" si="12"/>
        <v>0</v>
      </c>
      <c r="W53" s="8"/>
      <c r="Z53" s="6" t="str">
        <f t="shared" si="3"/>
        <v/>
      </c>
      <c r="AA53" s="6" t="str">
        <f t="shared" si="4"/>
        <v/>
      </c>
      <c r="AB53" s="6" t="str">
        <f t="shared" si="5"/>
        <v/>
      </c>
      <c r="AC53" s="6" t="str">
        <f t="shared" si="6"/>
        <v/>
      </c>
      <c r="AD53" s="6" t="str">
        <f t="shared" si="7"/>
        <v/>
      </c>
      <c r="AE53" s="6" t="str">
        <f t="shared" si="8"/>
        <v/>
      </c>
      <c r="AF53" s="6" t="str">
        <f t="shared" si="9"/>
        <v/>
      </c>
      <c r="AG53" s="6" t="str">
        <f t="shared" si="10"/>
        <v/>
      </c>
      <c r="AH53" s="6" t="str">
        <f t="shared" si="11"/>
        <v/>
      </c>
    </row>
    <row r="54" spans="1:34">
      <c r="A54" s="9"/>
      <c r="C54" s="4" t="str">
        <f>IFERROR(VLOOKUP(B54,'Code Lists'!$A:$B,2,FALSE),"")</f>
        <v/>
      </c>
      <c r="F54" s="4" t="str">
        <f>IFERROR(VLOOKUP(E54,'Code Lists'!$D:$E,2,FALSE),"")</f>
        <v/>
      </c>
      <c r="H54" s="4" t="str">
        <f>IFERROR(VLOOKUP(G54,'Code Lists'!$G:$H,2,FALSE),"")</f>
        <v/>
      </c>
      <c r="J54" s="10"/>
      <c r="M54" s="11"/>
      <c r="Q54" s="7" t="str">
        <f>IF(VedAarnaSKUMaster[[#This Row],[HSN/SAC Code]]=998822,5%,IF(VedAarnaSKUMaster[[#This Row],[HSN/SAC Code]]=998391,18%,IF(VedAarnaSKUMaster[[#This Row],[HSN/SAC Code]]=998723,5%,"")))</f>
        <v/>
      </c>
      <c r="R54" s="5" t="str">
        <f t="shared" si="0"/>
        <v/>
      </c>
      <c r="S54" s="5" t="str">
        <f t="shared" si="1"/>
        <v/>
      </c>
      <c r="T54" s="11"/>
      <c r="U54" s="8" t="str">
        <f>IF(OR(VedAarnaSKUMaster[[#This Row],[Selling Price]]="",VedAarnaSKUMaster[[#This Row],[Selling Price]]=0),"",CEILING(VedAarnaSKUMaster[[#This Row],[Selling Price]]/(1-20%),100)-1)</f>
        <v/>
      </c>
      <c r="V54">
        <f t="shared" si="12"/>
        <v>0</v>
      </c>
      <c r="W54" s="8"/>
      <c r="Z54" s="6" t="str">
        <f t="shared" si="3"/>
        <v/>
      </c>
      <c r="AA54" s="6" t="str">
        <f t="shared" si="4"/>
        <v/>
      </c>
      <c r="AB54" s="6" t="str">
        <f t="shared" si="5"/>
        <v/>
      </c>
      <c r="AC54" s="6" t="str">
        <f t="shared" si="6"/>
        <v/>
      </c>
      <c r="AD54" s="6" t="str">
        <f t="shared" si="7"/>
        <v/>
      </c>
      <c r="AE54" s="6" t="str">
        <f t="shared" si="8"/>
        <v/>
      </c>
      <c r="AF54" s="6" t="str">
        <f t="shared" si="9"/>
        <v/>
      </c>
      <c r="AG54" s="6" t="str">
        <f t="shared" si="10"/>
        <v/>
      </c>
      <c r="AH54" s="6" t="str">
        <f t="shared" si="11"/>
        <v/>
      </c>
    </row>
    <row r="55" spans="1:34">
      <c r="A55" s="9"/>
      <c r="C55" s="4" t="str">
        <f>IFERROR(VLOOKUP(B55,'Code Lists'!$A:$B,2,FALSE),"")</f>
        <v/>
      </c>
      <c r="F55" s="4" t="str">
        <f>IFERROR(VLOOKUP(E55,'Code Lists'!$D:$E,2,FALSE),"")</f>
        <v/>
      </c>
      <c r="H55" s="4" t="str">
        <f>IFERROR(VLOOKUP(G55,'Code Lists'!$G:$H,2,FALSE),"")</f>
        <v/>
      </c>
      <c r="J55" s="10"/>
      <c r="M55" s="11"/>
      <c r="Q55" s="7" t="str">
        <f>IF(VedAarnaSKUMaster[[#This Row],[HSN/SAC Code]]=998822,5%,IF(VedAarnaSKUMaster[[#This Row],[HSN/SAC Code]]=998391,18%,IF(VedAarnaSKUMaster[[#This Row],[HSN/SAC Code]]=998723,5%,"")))</f>
        <v/>
      </c>
      <c r="R55" s="5" t="str">
        <f t="shared" si="0"/>
        <v/>
      </c>
      <c r="S55" s="5" t="str">
        <f t="shared" si="1"/>
        <v/>
      </c>
      <c r="T55" s="11"/>
      <c r="U55" s="8" t="str">
        <f>IF(OR(VedAarnaSKUMaster[[#This Row],[Selling Price]]="",VedAarnaSKUMaster[[#This Row],[Selling Price]]=0),"",CEILING(VedAarnaSKUMaster[[#This Row],[Selling Price]]/(1-20%),100)-1)</f>
        <v/>
      </c>
      <c r="V55">
        <f t="shared" si="12"/>
        <v>0</v>
      </c>
      <c r="W55" s="8"/>
      <c r="Z55" s="6" t="str">
        <f t="shared" si="3"/>
        <v/>
      </c>
      <c r="AA55" s="6" t="str">
        <f t="shared" si="4"/>
        <v/>
      </c>
      <c r="AB55" s="6" t="str">
        <f t="shared" si="5"/>
        <v/>
      </c>
      <c r="AC55" s="6" t="str">
        <f t="shared" si="6"/>
        <v/>
      </c>
      <c r="AD55" s="6" t="str">
        <f t="shared" si="7"/>
        <v/>
      </c>
      <c r="AE55" s="6" t="str">
        <f t="shared" si="8"/>
        <v/>
      </c>
      <c r="AF55" s="6" t="str">
        <f t="shared" si="9"/>
        <v/>
      </c>
      <c r="AG55" s="6" t="str">
        <f t="shared" si="10"/>
        <v/>
      </c>
      <c r="AH55" s="6" t="str">
        <f t="shared" si="11"/>
        <v/>
      </c>
    </row>
    <row r="56" spans="1:34">
      <c r="A56" s="9"/>
      <c r="C56" s="4" t="str">
        <f>IFERROR(VLOOKUP(B56,'Code Lists'!$A:$B,2,FALSE),"")</f>
        <v/>
      </c>
      <c r="F56" s="4" t="str">
        <f>IFERROR(VLOOKUP(E56,'Code Lists'!$D:$E,2,FALSE),"")</f>
        <v/>
      </c>
      <c r="H56" s="4" t="str">
        <f>IFERROR(VLOOKUP(G56,'Code Lists'!$G:$H,2,FALSE),"")</f>
        <v/>
      </c>
      <c r="J56" s="10"/>
      <c r="M56" s="11"/>
      <c r="Q56" s="7" t="str">
        <f>IF(VedAarnaSKUMaster[[#This Row],[HSN/SAC Code]]=998822,5%,IF(VedAarnaSKUMaster[[#This Row],[HSN/SAC Code]]=998391,18%,IF(VedAarnaSKUMaster[[#This Row],[HSN/SAC Code]]=998723,5%,"")))</f>
        <v/>
      </c>
      <c r="R56" s="5" t="str">
        <f t="shared" si="0"/>
        <v/>
      </c>
      <c r="S56" s="5" t="str">
        <f t="shared" si="1"/>
        <v/>
      </c>
      <c r="T56" s="11"/>
      <c r="U56" s="8" t="str">
        <f>IF(OR(VedAarnaSKUMaster[[#This Row],[Selling Price]]="",VedAarnaSKUMaster[[#This Row],[Selling Price]]=0),"",CEILING(VedAarnaSKUMaster[[#This Row],[Selling Price]]/(1-20%),100)-1)</f>
        <v/>
      </c>
      <c r="V56">
        <f t="shared" si="12"/>
        <v>0</v>
      </c>
      <c r="W56" s="8"/>
      <c r="Z56" s="6" t="str">
        <f t="shared" si="3"/>
        <v/>
      </c>
      <c r="AA56" s="6" t="str">
        <f t="shared" si="4"/>
        <v/>
      </c>
      <c r="AB56" s="6" t="str">
        <f t="shared" si="5"/>
        <v/>
      </c>
      <c r="AC56" s="6" t="str">
        <f t="shared" si="6"/>
        <v/>
      </c>
      <c r="AD56" s="6" t="str">
        <f t="shared" si="7"/>
        <v/>
      </c>
      <c r="AE56" s="6" t="str">
        <f t="shared" si="8"/>
        <v/>
      </c>
      <c r="AF56" s="6" t="str">
        <f t="shared" si="9"/>
        <v/>
      </c>
      <c r="AG56" s="6" t="str">
        <f t="shared" si="10"/>
        <v/>
      </c>
      <c r="AH56" s="6" t="str">
        <f t="shared" si="11"/>
        <v/>
      </c>
    </row>
    <row r="57" spans="1:34">
      <c r="A57" s="9"/>
      <c r="C57" s="4" t="str">
        <f>IFERROR(VLOOKUP(B57,'Code Lists'!$A:$B,2,FALSE),"")</f>
        <v/>
      </c>
      <c r="F57" s="4" t="str">
        <f>IFERROR(VLOOKUP(E57,'Code Lists'!$D:$E,2,FALSE),"")</f>
        <v/>
      </c>
      <c r="H57" s="4" t="str">
        <f>IFERROR(VLOOKUP(G57,'Code Lists'!$G:$H,2,FALSE),"")</f>
        <v/>
      </c>
      <c r="J57" s="10"/>
      <c r="M57" s="11"/>
      <c r="Q57" s="7" t="str">
        <f>IF(VedAarnaSKUMaster[[#This Row],[HSN/SAC Code]]=998822,5%,IF(VedAarnaSKUMaster[[#This Row],[HSN/SAC Code]]=998391,18%,IF(VedAarnaSKUMaster[[#This Row],[HSN/SAC Code]]=998723,5%,"")))</f>
        <v/>
      </c>
      <c r="R57" s="5" t="str">
        <f t="shared" si="0"/>
        <v/>
      </c>
      <c r="S57" s="5" t="str">
        <f t="shared" si="1"/>
        <v/>
      </c>
      <c r="T57" s="11"/>
      <c r="U57" s="8" t="str">
        <f>IF(OR(VedAarnaSKUMaster[[#This Row],[Selling Price]]="",VedAarnaSKUMaster[[#This Row],[Selling Price]]=0),"",CEILING(VedAarnaSKUMaster[[#This Row],[Selling Price]]/(1-20%),100)-1)</f>
        <v/>
      </c>
      <c r="V57">
        <f t="shared" si="12"/>
        <v>0</v>
      </c>
      <c r="W57" s="8"/>
      <c r="Z57" s="6" t="str">
        <f t="shared" si="3"/>
        <v/>
      </c>
      <c r="AA57" s="6" t="str">
        <f t="shared" si="4"/>
        <v/>
      </c>
      <c r="AB57" s="6" t="str">
        <f t="shared" si="5"/>
        <v/>
      </c>
      <c r="AC57" s="6" t="str">
        <f t="shared" si="6"/>
        <v/>
      </c>
      <c r="AD57" s="6" t="str">
        <f t="shared" si="7"/>
        <v/>
      </c>
      <c r="AE57" s="6" t="str">
        <f t="shared" si="8"/>
        <v/>
      </c>
      <c r="AF57" s="6" t="str">
        <f t="shared" si="9"/>
        <v/>
      </c>
      <c r="AG57" s="6" t="str">
        <f t="shared" si="10"/>
        <v/>
      </c>
      <c r="AH57" s="6" t="str">
        <f t="shared" si="11"/>
        <v/>
      </c>
    </row>
    <row r="58" spans="1:34">
      <c r="A58" s="9"/>
      <c r="C58" s="4" t="str">
        <f>IFERROR(VLOOKUP(B58,'Code Lists'!$A:$B,2,FALSE),"")</f>
        <v/>
      </c>
      <c r="F58" s="4" t="str">
        <f>IFERROR(VLOOKUP(E58,'Code Lists'!$D:$E,2,FALSE),"")</f>
        <v/>
      </c>
      <c r="H58" s="4" t="str">
        <f>IFERROR(VLOOKUP(G58,'Code Lists'!$G:$H,2,FALSE),"")</f>
        <v/>
      </c>
      <c r="J58" s="10"/>
      <c r="M58" s="11"/>
      <c r="Q58" s="7" t="str">
        <f>IF(VedAarnaSKUMaster[[#This Row],[HSN/SAC Code]]=998822,5%,IF(VedAarnaSKUMaster[[#This Row],[HSN/SAC Code]]=998391,18%,IF(VedAarnaSKUMaster[[#This Row],[HSN/SAC Code]]=998723,5%,"")))</f>
        <v/>
      </c>
      <c r="R58" s="5" t="str">
        <f t="shared" si="0"/>
        <v/>
      </c>
      <c r="S58" s="5" t="str">
        <f t="shared" si="1"/>
        <v/>
      </c>
      <c r="T58" s="11"/>
      <c r="U58" s="8" t="str">
        <f>IF(OR(VedAarnaSKUMaster[[#This Row],[Selling Price]]="",VedAarnaSKUMaster[[#This Row],[Selling Price]]=0),"",CEILING(VedAarnaSKUMaster[[#This Row],[Selling Price]]/(1-20%),100)-1)</f>
        <v/>
      </c>
      <c r="V58">
        <f t="shared" si="12"/>
        <v>0</v>
      </c>
      <c r="W58" s="8"/>
      <c r="Z58" s="6" t="str">
        <f t="shared" si="3"/>
        <v/>
      </c>
      <c r="AA58" s="6" t="str">
        <f t="shared" si="4"/>
        <v/>
      </c>
      <c r="AB58" s="6" t="str">
        <f t="shared" si="5"/>
        <v/>
      </c>
      <c r="AC58" s="6" t="str">
        <f t="shared" si="6"/>
        <v/>
      </c>
      <c r="AD58" s="6" t="str">
        <f t="shared" si="7"/>
        <v/>
      </c>
      <c r="AE58" s="6" t="str">
        <f t="shared" si="8"/>
        <v/>
      </c>
      <c r="AF58" s="6" t="str">
        <f t="shared" si="9"/>
        <v/>
      </c>
      <c r="AG58" s="6" t="str">
        <f t="shared" si="10"/>
        <v/>
      </c>
      <c r="AH58" s="6" t="str">
        <f t="shared" si="11"/>
        <v/>
      </c>
    </row>
    <row r="59" spans="1:34">
      <c r="A59" s="9"/>
      <c r="C59" s="4" t="str">
        <f>IFERROR(VLOOKUP(B59,'Code Lists'!$A:$B,2,FALSE),"")</f>
        <v/>
      </c>
      <c r="F59" s="4" t="str">
        <f>IFERROR(VLOOKUP(E59,'Code Lists'!$D:$E,2,FALSE),"")</f>
        <v/>
      </c>
      <c r="H59" s="4" t="str">
        <f>IFERROR(VLOOKUP(G59,'Code Lists'!$G:$H,2,FALSE),"")</f>
        <v/>
      </c>
      <c r="J59" s="10"/>
      <c r="M59" s="11"/>
      <c r="Q59" s="7" t="str">
        <f>IF(VedAarnaSKUMaster[[#This Row],[HSN/SAC Code]]=998822,5%,IF(VedAarnaSKUMaster[[#This Row],[HSN/SAC Code]]=998391,18%,IF(VedAarnaSKUMaster[[#This Row],[HSN/SAC Code]]=998723,5%,"")))</f>
        <v/>
      </c>
      <c r="R59" s="5" t="str">
        <f t="shared" si="0"/>
        <v/>
      </c>
      <c r="S59" s="5" t="str">
        <f t="shared" si="1"/>
        <v/>
      </c>
      <c r="T59" s="11"/>
      <c r="U59" s="8" t="str">
        <f>IF(OR(VedAarnaSKUMaster[[#This Row],[Selling Price]]="",VedAarnaSKUMaster[[#This Row],[Selling Price]]=0),"",CEILING(VedAarnaSKUMaster[[#This Row],[Selling Price]]/(1-20%),100)-1)</f>
        <v/>
      </c>
      <c r="V59">
        <f t="shared" si="12"/>
        <v>0</v>
      </c>
      <c r="W59" s="8"/>
      <c r="Z59" s="6" t="str">
        <f t="shared" si="3"/>
        <v/>
      </c>
      <c r="AA59" s="6" t="str">
        <f t="shared" si="4"/>
        <v/>
      </c>
      <c r="AB59" s="6" t="str">
        <f t="shared" si="5"/>
        <v/>
      </c>
      <c r="AC59" s="6" t="str">
        <f t="shared" si="6"/>
        <v/>
      </c>
      <c r="AD59" s="6" t="str">
        <f t="shared" si="7"/>
        <v/>
      </c>
      <c r="AE59" s="6" t="str">
        <f t="shared" si="8"/>
        <v/>
      </c>
      <c r="AF59" s="6" t="str">
        <f t="shared" si="9"/>
        <v/>
      </c>
      <c r="AG59" s="6" t="str">
        <f t="shared" si="10"/>
        <v/>
      </c>
      <c r="AH59" s="6" t="str">
        <f t="shared" si="11"/>
        <v/>
      </c>
    </row>
    <row r="60" spans="1:34">
      <c r="A60" s="9"/>
      <c r="C60" s="4" t="str">
        <f>IFERROR(VLOOKUP(B60,'Code Lists'!$A:$B,2,FALSE),"")</f>
        <v/>
      </c>
      <c r="F60" s="4" t="str">
        <f>IFERROR(VLOOKUP(E60,'Code Lists'!$D:$E,2,FALSE),"")</f>
        <v/>
      </c>
      <c r="H60" s="4" t="str">
        <f>IFERROR(VLOOKUP(G60,'Code Lists'!$G:$H,2,FALSE),"")</f>
        <v/>
      </c>
      <c r="J60" s="10"/>
      <c r="M60" s="11"/>
      <c r="Q60" s="7" t="str">
        <f>IF(VedAarnaSKUMaster[[#This Row],[HSN/SAC Code]]=998822,5%,IF(VedAarnaSKUMaster[[#This Row],[HSN/SAC Code]]=998391,18%,IF(VedAarnaSKUMaster[[#This Row],[HSN/SAC Code]]=998723,5%,"")))</f>
        <v/>
      </c>
      <c r="R60" s="5" t="str">
        <f t="shared" si="0"/>
        <v/>
      </c>
      <c r="S60" s="5" t="str">
        <f t="shared" si="1"/>
        <v/>
      </c>
      <c r="T60" s="11"/>
      <c r="U60" s="8" t="str">
        <f>IF(OR(VedAarnaSKUMaster[[#This Row],[Selling Price]]="",VedAarnaSKUMaster[[#This Row],[Selling Price]]=0),"",CEILING(VedAarnaSKUMaster[[#This Row],[Selling Price]]/(1-20%),100)-1)</f>
        <v/>
      </c>
      <c r="V60">
        <f t="shared" si="12"/>
        <v>0</v>
      </c>
      <c r="W60" s="8"/>
      <c r="Z60" s="6" t="str">
        <f t="shared" si="3"/>
        <v/>
      </c>
      <c r="AA60" s="6" t="str">
        <f t="shared" si="4"/>
        <v/>
      </c>
      <c r="AB60" s="6" t="str">
        <f t="shared" si="5"/>
        <v/>
      </c>
      <c r="AC60" s="6" t="str">
        <f t="shared" si="6"/>
        <v/>
      </c>
      <c r="AD60" s="6" t="str">
        <f t="shared" si="7"/>
        <v/>
      </c>
      <c r="AE60" s="6" t="str">
        <f t="shared" si="8"/>
        <v/>
      </c>
      <c r="AF60" s="6" t="str">
        <f t="shared" si="9"/>
        <v/>
      </c>
      <c r="AG60" s="6" t="str">
        <f t="shared" si="10"/>
        <v/>
      </c>
      <c r="AH60" s="6" t="str">
        <f t="shared" si="11"/>
        <v/>
      </c>
    </row>
    <row r="61" spans="1:34">
      <c r="A61" s="9"/>
      <c r="C61" s="4" t="str">
        <f>IFERROR(VLOOKUP(B61,'Code Lists'!$A:$B,2,FALSE),"")</f>
        <v/>
      </c>
      <c r="F61" s="4" t="str">
        <f>IFERROR(VLOOKUP(E61,'Code Lists'!$D:$E,2,FALSE),"")</f>
        <v/>
      </c>
      <c r="H61" s="4" t="str">
        <f>IFERROR(VLOOKUP(G61,'Code Lists'!$G:$H,2,FALSE),"")</f>
        <v/>
      </c>
      <c r="J61" s="10"/>
      <c r="M61" s="11"/>
      <c r="Q61" s="7" t="str">
        <f>IF(VedAarnaSKUMaster[[#This Row],[HSN/SAC Code]]=998822,5%,IF(VedAarnaSKUMaster[[#This Row],[HSN/SAC Code]]=998391,18%,IF(VedAarnaSKUMaster[[#This Row],[HSN/SAC Code]]=998723,5%,"")))</f>
        <v/>
      </c>
      <c r="R61" s="5" t="str">
        <f t="shared" si="0"/>
        <v/>
      </c>
      <c r="S61" s="5" t="str">
        <f t="shared" si="1"/>
        <v/>
      </c>
      <c r="T61" s="11"/>
      <c r="U61" s="8" t="str">
        <f>IF(OR(VedAarnaSKUMaster[[#This Row],[Selling Price]]="",VedAarnaSKUMaster[[#This Row],[Selling Price]]=0),"",CEILING(VedAarnaSKUMaster[[#This Row],[Selling Price]]/(1-20%),100)-1)</f>
        <v/>
      </c>
      <c r="V61">
        <f t="shared" si="12"/>
        <v>0</v>
      </c>
      <c r="W61" s="8"/>
      <c r="Z61" s="6" t="str">
        <f t="shared" si="3"/>
        <v/>
      </c>
      <c r="AA61" s="6" t="str">
        <f t="shared" si="4"/>
        <v/>
      </c>
      <c r="AB61" s="6" t="str">
        <f t="shared" si="5"/>
        <v/>
      </c>
      <c r="AC61" s="6" t="str">
        <f t="shared" si="6"/>
        <v/>
      </c>
      <c r="AD61" s="6" t="str">
        <f t="shared" si="7"/>
        <v/>
      </c>
      <c r="AE61" s="6" t="str">
        <f t="shared" si="8"/>
        <v/>
      </c>
      <c r="AF61" s="6" t="str">
        <f t="shared" si="9"/>
        <v/>
      </c>
      <c r="AG61" s="6" t="str">
        <f t="shared" si="10"/>
        <v/>
      </c>
      <c r="AH61" s="6" t="str">
        <f t="shared" si="11"/>
        <v/>
      </c>
    </row>
    <row r="62" spans="1:34">
      <c r="A62" s="9"/>
      <c r="C62" s="4" t="str">
        <f>IFERROR(VLOOKUP(B62,'Code Lists'!$A:$B,2,FALSE),"")</f>
        <v/>
      </c>
      <c r="F62" s="4" t="str">
        <f>IFERROR(VLOOKUP(E62,'Code Lists'!$D:$E,2,FALSE),"")</f>
        <v/>
      </c>
      <c r="H62" s="4" t="str">
        <f>IFERROR(VLOOKUP(G62,'Code Lists'!$G:$H,2,FALSE),"")</f>
        <v/>
      </c>
      <c r="J62" s="10"/>
      <c r="M62" s="11"/>
      <c r="Q62" s="7" t="str">
        <f>IF(VedAarnaSKUMaster[[#This Row],[HSN/SAC Code]]=998822,5%,IF(VedAarnaSKUMaster[[#This Row],[HSN/SAC Code]]=998391,18%,IF(VedAarnaSKUMaster[[#This Row],[HSN/SAC Code]]=998723,5%,"")))</f>
        <v/>
      </c>
      <c r="R62" s="5" t="str">
        <f t="shared" si="0"/>
        <v/>
      </c>
      <c r="S62" s="5" t="str">
        <f t="shared" si="1"/>
        <v/>
      </c>
      <c r="T62" s="11"/>
      <c r="U62" s="8" t="str">
        <f>IF(OR(VedAarnaSKUMaster[[#This Row],[Selling Price]]="",VedAarnaSKUMaster[[#This Row],[Selling Price]]=0),"",CEILING(VedAarnaSKUMaster[[#This Row],[Selling Price]]/(1-20%),100)-1)</f>
        <v/>
      </c>
      <c r="V62">
        <f t="shared" si="12"/>
        <v>0</v>
      </c>
      <c r="W62" s="8"/>
      <c r="Z62" s="6" t="str">
        <f t="shared" si="3"/>
        <v/>
      </c>
      <c r="AA62" s="6" t="str">
        <f t="shared" si="4"/>
        <v/>
      </c>
      <c r="AB62" s="6" t="str">
        <f t="shared" si="5"/>
        <v/>
      </c>
      <c r="AC62" s="6" t="str">
        <f t="shared" si="6"/>
        <v/>
      </c>
      <c r="AD62" s="6" t="str">
        <f t="shared" si="7"/>
        <v/>
      </c>
      <c r="AE62" s="6" t="str">
        <f t="shared" si="8"/>
        <v/>
      </c>
      <c r="AF62" s="6" t="str">
        <f t="shared" si="9"/>
        <v/>
      </c>
      <c r="AG62" s="6" t="str">
        <f t="shared" si="10"/>
        <v/>
      </c>
      <c r="AH62" s="6" t="str">
        <f t="shared" si="11"/>
        <v/>
      </c>
    </row>
    <row r="63" spans="1:34">
      <c r="A63" s="9"/>
      <c r="C63" s="4" t="str">
        <f>IFERROR(VLOOKUP(B63,'Code Lists'!$A:$B,2,FALSE),"")</f>
        <v/>
      </c>
      <c r="F63" s="4" t="str">
        <f>IFERROR(VLOOKUP(E63,'Code Lists'!$D:$E,2,FALSE),"")</f>
        <v/>
      </c>
      <c r="H63" s="4" t="str">
        <f>IFERROR(VLOOKUP(G63,'Code Lists'!$G:$H,2,FALSE),"")</f>
        <v/>
      </c>
      <c r="J63" s="10"/>
      <c r="M63" s="11"/>
      <c r="Q63" s="7" t="str">
        <f>IF(VedAarnaSKUMaster[[#This Row],[HSN/SAC Code]]=998822,5%,IF(VedAarnaSKUMaster[[#This Row],[HSN/SAC Code]]=998391,18%,IF(VedAarnaSKUMaster[[#This Row],[HSN/SAC Code]]=998723,5%,"")))</f>
        <v/>
      </c>
      <c r="R63" s="5" t="str">
        <f t="shared" si="0"/>
        <v/>
      </c>
      <c r="S63" s="5" t="str">
        <f t="shared" si="1"/>
        <v/>
      </c>
      <c r="T63" s="11"/>
      <c r="U63" s="8" t="str">
        <f>IF(OR(VedAarnaSKUMaster[[#This Row],[Selling Price]]="",VedAarnaSKUMaster[[#This Row],[Selling Price]]=0),"",CEILING(VedAarnaSKUMaster[[#This Row],[Selling Price]]/(1-20%),100)-1)</f>
        <v/>
      </c>
      <c r="V63">
        <f t="shared" si="12"/>
        <v>0</v>
      </c>
      <c r="W63" s="8"/>
      <c r="Z63" s="6" t="str">
        <f t="shared" si="3"/>
        <v/>
      </c>
      <c r="AA63" s="6" t="str">
        <f t="shared" si="4"/>
        <v/>
      </c>
      <c r="AB63" s="6" t="str">
        <f t="shared" si="5"/>
        <v/>
      </c>
      <c r="AC63" s="6" t="str">
        <f t="shared" si="6"/>
        <v/>
      </c>
      <c r="AD63" s="6" t="str">
        <f t="shared" si="7"/>
        <v/>
      </c>
      <c r="AE63" s="6" t="str">
        <f t="shared" si="8"/>
        <v/>
      </c>
      <c r="AF63" s="6" t="str">
        <f t="shared" si="9"/>
        <v/>
      </c>
      <c r="AG63" s="6" t="str">
        <f t="shared" si="10"/>
        <v/>
      </c>
      <c r="AH63" s="6" t="str">
        <f t="shared" si="11"/>
        <v/>
      </c>
    </row>
    <row r="64" spans="1:34">
      <c r="A64" s="9"/>
      <c r="C64" s="4" t="str">
        <f>IFERROR(VLOOKUP(B64,'Code Lists'!$A:$B,2,FALSE),"")</f>
        <v/>
      </c>
      <c r="F64" s="4" t="str">
        <f>IFERROR(VLOOKUP(E64,'Code Lists'!$D:$E,2,FALSE),"")</f>
        <v/>
      </c>
      <c r="H64" s="4" t="str">
        <f>IFERROR(VLOOKUP(G64,'Code Lists'!$G:$H,2,FALSE),"")</f>
        <v/>
      </c>
      <c r="J64" s="10"/>
      <c r="M64" s="11"/>
      <c r="Q64" s="7" t="str">
        <f>IF(VedAarnaSKUMaster[[#This Row],[HSN/SAC Code]]=998822,5%,IF(VedAarnaSKUMaster[[#This Row],[HSN/SAC Code]]=998391,18%,IF(VedAarnaSKUMaster[[#This Row],[HSN/SAC Code]]=998723,5%,"")))</f>
        <v/>
      </c>
      <c r="R64" s="5" t="str">
        <f t="shared" si="0"/>
        <v/>
      </c>
      <c r="S64" s="5" t="str">
        <f t="shared" si="1"/>
        <v/>
      </c>
      <c r="T64" s="11"/>
      <c r="U64" s="8" t="str">
        <f>IF(OR(VedAarnaSKUMaster[[#This Row],[Selling Price]]="",VedAarnaSKUMaster[[#This Row],[Selling Price]]=0),"",CEILING(VedAarnaSKUMaster[[#This Row],[Selling Price]]/(1-20%),100)-1)</f>
        <v/>
      </c>
      <c r="V64">
        <f t="shared" si="12"/>
        <v>0</v>
      </c>
      <c r="W64" s="8"/>
      <c r="Z64" s="6" t="str">
        <f t="shared" si="3"/>
        <v/>
      </c>
      <c r="AA64" s="6" t="str">
        <f t="shared" si="4"/>
        <v/>
      </c>
      <c r="AB64" s="6" t="str">
        <f t="shared" si="5"/>
        <v/>
      </c>
      <c r="AC64" s="6" t="str">
        <f t="shared" si="6"/>
        <v/>
      </c>
      <c r="AD64" s="6" t="str">
        <f t="shared" si="7"/>
        <v/>
      </c>
      <c r="AE64" s="6" t="str">
        <f t="shared" si="8"/>
        <v/>
      </c>
      <c r="AF64" s="6" t="str">
        <f t="shared" si="9"/>
        <v/>
      </c>
      <c r="AG64" s="6" t="str">
        <f t="shared" si="10"/>
        <v/>
      </c>
      <c r="AH64" s="6" t="str">
        <f t="shared" si="11"/>
        <v/>
      </c>
    </row>
    <row r="65" spans="1:34">
      <c r="A65" s="9"/>
      <c r="C65" s="4" t="str">
        <f>IFERROR(VLOOKUP(B65,'Code Lists'!$A:$B,2,FALSE),"")</f>
        <v/>
      </c>
      <c r="F65" s="4" t="str">
        <f>IFERROR(VLOOKUP(E65,'Code Lists'!$D:$E,2,FALSE),"")</f>
        <v/>
      </c>
      <c r="H65" s="4" t="str">
        <f>IFERROR(VLOOKUP(G65,'Code Lists'!$G:$H,2,FALSE),"")</f>
        <v/>
      </c>
      <c r="J65" s="10"/>
      <c r="M65" s="11"/>
      <c r="Q65" s="7" t="str">
        <f>IF(VedAarnaSKUMaster[[#This Row],[HSN/SAC Code]]=998822,5%,IF(VedAarnaSKUMaster[[#This Row],[HSN/SAC Code]]=998391,18%,IF(VedAarnaSKUMaster[[#This Row],[HSN/SAC Code]]=998723,5%,"")))</f>
        <v/>
      </c>
      <c r="R65" s="5" t="str">
        <f t="shared" ref="R65:R128" si="13">IF(OR(A65="",C65="",H65="",J65=""),"","VS-"&amp;C65&amp;IF(D65&lt;&gt;"","-"&amp;D65,"")&amp;"-"&amp;TEXT(A65,"0000")&amp;"-"&amp;H65&amp;"-"&amp;RIGHT(TEXT(J65,"0000"),2))</f>
        <v/>
      </c>
      <c r="S65" s="5" t="str">
        <f t="shared" ref="S65:S128" si="14">IF(OR(A65="",C65="",F65="",H65="",I65="",J65=""),"","VS-"&amp;C65&amp;IF(D65&lt;&gt;"","-"&amp;D65,"")&amp;"-"&amp;TEXT(A65,"0000")&amp;"-"&amp;F65&amp;"-"&amp;H65&amp;"-"&amp;I65&amp;"-"&amp;RIGHT(TEXT(J65,"0000"),2))</f>
        <v/>
      </c>
      <c r="T65" s="11"/>
      <c r="U65" s="8" t="str">
        <f>IF(OR(VedAarnaSKUMaster[[#This Row],[Selling Price]]="",VedAarnaSKUMaster[[#This Row],[Selling Price]]=0),"",CEILING(VedAarnaSKUMaster[[#This Row],[Selling Price]]/(1-20%),100)-1)</f>
        <v/>
      </c>
      <c r="V65">
        <f t="shared" si="12"/>
        <v>0</v>
      </c>
      <c r="W65" s="8"/>
      <c r="Z65" s="6" t="str">
        <f t="shared" si="3"/>
        <v/>
      </c>
      <c r="AA65" s="6" t="str">
        <f t="shared" si="4"/>
        <v/>
      </c>
      <c r="AB65" s="6" t="str">
        <f t="shared" si="5"/>
        <v/>
      </c>
      <c r="AC65" s="6" t="str">
        <f t="shared" si="6"/>
        <v/>
      </c>
      <c r="AD65" s="6" t="str">
        <f t="shared" si="7"/>
        <v/>
      </c>
      <c r="AE65" s="6" t="str">
        <f t="shared" si="8"/>
        <v/>
      </c>
      <c r="AF65" s="6" t="str">
        <f t="shared" si="9"/>
        <v/>
      </c>
      <c r="AG65" s="6" t="str">
        <f t="shared" si="10"/>
        <v/>
      </c>
      <c r="AH65" s="6" t="str">
        <f t="shared" si="11"/>
        <v/>
      </c>
    </row>
    <row r="66" spans="1:34">
      <c r="A66" s="9"/>
      <c r="C66" s="4" t="str">
        <f>IFERROR(VLOOKUP(B66,'Code Lists'!$A:$B,2,FALSE),"")</f>
        <v/>
      </c>
      <c r="F66" s="4" t="str">
        <f>IFERROR(VLOOKUP(E66,'Code Lists'!$D:$E,2,FALSE),"")</f>
        <v/>
      </c>
      <c r="H66" s="4" t="str">
        <f>IFERROR(VLOOKUP(G66,'Code Lists'!$G:$H,2,FALSE),"")</f>
        <v/>
      </c>
      <c r="J66" s="10"/>
      <c r="M66" s="11"/>
      <c r="Q66" s="7" t="str">
        <f>IF(VedAarnaSKUMaster[[#This Row],[HSN/SAC Code]]=998822,5%,IF(VedAarnaSKUMaster[[#This Row],[HSN/SAC Code]]=998391,18%,IF(VedAarnaSKUMaster[[#This Row],[HSN/SAC Code]]=998723,5%,"")))</f>
        <v/>
      </c>
      <c r="R66" s="5" t="str">
        <f t="shared" si="13"/>
        <v/>
      </c>
      <c r="S66" s="5" t="str">
        <f t="shared" si="14"/>
        <v/>
      </c>
      <c r="T66" s="11"/>
      <c r="U66" s="8" t="str">
        <f>IF(OR(VedAarnaSKUMaster[[#This Row],[Selling Price]]="",VedAarnaSKUMaster[[#This Row],[Selling Price]]=0),"",CEILING(VedAarnaSKUMaster[[#This Row],[Selling Price]]/(1-20%),100)-1)</f>
        <v/>
      </c>
      <c r="V66">
        <f t="shared" si="12"/>
        <v>0</v>
      </c>
      <c r="W66" s="8"/>
      <c r="Z66" s="6" t="str">
        <f t="shared" ref="Z66:Z129" si="15">IF($R66="","",$R66&amp;"-01-FR.png")</f>
        <v/>
      </c>
      <c r="AA66" s="6" t="str">
        <f t="shared" ref="AA66:AA129" si="16">IF($R66="","",$R66&amp;"-02-SD.png")</f>
        <v/>
      </c>
      <c r="AB66" s="6" t="str">
        <f t="shared" ref="AB66:AB129" si="17">IF($R66="","",$R66&amp;"-03-BK.png")</f>
        <v/>
      </c>
      <c r="AC66" s="6" t="str">
        <f t="shared" ref="AC66:AC129" si="18">IF($R66="","",$R66&amp;"-04-CD.png")</f>
        <v/>
      </c>
      <c r="AD66" s="6" t="str">
        <f t="shared" ref="AD66:AD129" si="19">IF($R66="","",$R66&amp;"-05-WK.png")</f>
        <v/>
      </c>
      <c r="AE66" s="6" t="str">
        <f t="shared" ref="AE66:AE129" si="20">IF($R66="","",$R66&amp;"-06-ST.png")</f>
        <v/>
      </c>
      <c r="AF66" s="6" t="str">
        <f t="shared" ref="AF66:AF129" si="21">IF($R66="","",$R66&amp;"-FB.png")</f>
        <v/>
      </c>
      <c r="AG66" s="6" t="str">
        <f t="shared" ref="AG66:AG129" si="22">IF($R66="","",$R66&amp;"-DT.png")</f>
        <v/>
      </c>
      <c r="AH66" s="6" t="str">
        <f t="shared" ref="AH66:AH129" si="23">IF($R66="","",$R66&amp;"-REF-01.png")</f>
        <v/>
      </c>
    </row>
    <row r="67" spans="1:34">
      <c r="A67" s="9"/>
      <c r="C67" s="4" t="str">
        <f>IFERROR(VLOOKUP(B67,'Code Lists'!$A:$B,2,FALSE),"")</f>
        <v/>
      </c>
      <c r="F67" s="4" t="str">
        <f>IFERROR(VLOOKUP(E67,'Code Lists'!$D:$E,2,FALSE),"")</f>
        <v/>
      </c>
      <c r="H67" s="4" t="str">
        <f>IFERROR(VLOOKUP(G67,'Code Lists'!$G:$H,2,FALSE),"")</f>
        <v/>
      </c>
      <c r="J67" s="10"/>
      <c r="M67" s="11"/>
      <c r="Q67" s="7" t="str">
        <f>IF(VedAarnaSKUMaster[[#This Row],[HSN/SAC Code]]=998822,5%,IF(VedAarnaSKUMaster[[#This Row],[HSN/SAC Code]]=998391,18%,IF(VedAarnaSKUMaster[[#This Row],[HSN/SAC Code]]=998723,5%,"")))</f>
        <v/>
      </c>
      <c r="R67" s="5" t="str">
        <f t="shared" si="13"/>
        <v/>
      </c>
      <c r="S67" s="5" t="str">
        <f t="shared" si="14"/>
        <v/>
      </c>
      <c r="T67" s="11"/>
      <c r="U67" s="8" t="str">
        <f>IF(OR(VedAarnaSKUMaster[[#This Row],[Selling Price]]="",VedAarnaSKUMaster[[#This Row],[Selling Price]]=0),"",CEILING(VedAarnaSKUMaster[[#This Row],[Selling Price]]/(1-20%),100)-1)</f>
        <v/>
      </c>
      <c r="V67">
        <f t="shared" ref="V67:V130" si="24">ROUND(W67/(1-50%),-2)</f>
        <v>0</v>
      </c>
      <c r="W67" s="8"/>
      <c r="Z67" s="6" t="str">
        <f t="shared" si="15"/>
        <v/>
      </c>
      <c r="AA67" s="6" t="str">
        <f t="shared" si="16"/>
        <v/>
      </c>
      <c r="AB67" s="6" t="str">
        <f t="shared" si="17"/>
        <v/>
      </c>
      <c r="AC67" s="6" t="str">
        <f t="shared" si="18"/>
        <v/>
      </c>
      <c r="AD67" s="6" t="str">
        <f t="shared" si="19"/>
        <v/>
      </c>
      <c r="AE67" s="6" t="str">
        <f t="shared" si="20"/>
        <v/>
      </c>
      <c r="AF67" s="6" t="str">
        <f t="shared" si="21"/>
        <v/>
      </c>
      <c r="AG67" s="6" t="str">
        <f t="shared" si="22"/>
        <v/>
      </c>
      <c r="AH67" s="6" t="str">
        <f t="shared" si="23"/>
        <v/>
      </c>
    </row>
    <row r="68" spans="1:34">
      <c r="A68" s="9"/>
      <c r="C68" s="4" t="str">
        <f>IFERROR(VLOOKUP(B68,'Code Lists'!$A:$B,2,FALSE),"")</f>
        <v/>
      </c>
      <c r="F68" s="4" t="str">
        <f>IFERROR(VLOOKUP(E68,'Code Lists'!$D:$E,2,FALSE),"")</f>
        <v/>
      </c>
      <c r="H68" s="4" t="str">
        <f>IFERROR(VLOOKUP(G68,'Code Lists'!$G:$H,2,FALSE),"")</f>
        <v/>
      </c>
      <c r="J68" s="10"/>
      <c r="M68" s="11"/>
      <c r="Q68" s="7" t="str">
        <f>IF(VedAarnaSKUMaster[[#This Row],[HSN/SAC Code]]=998822,5%,IF(VedAarnaSKUMaster[[#This Row],[HSN/SAC Code]]=998391,18%,IF(VedAarnaSKUMaster[[#This Row],[HSN/SAC Code]]=998723,5%,"")))</f>
        <v/>
      </c>
      <c r="R68" s="5" t="str">
        <f t="shared" si="13"/>
        <v/>
      </c>
      <c r="S68" s="5" t="str">
        <f t="shared" si="14"/>
        <v/>
      </c>
      <c r="T68" s="11"/>
      <c r="U68" s="8" t="str">
        <f>IF(OR(VedAarnaSKUMaster[[#This Row],[Selling Price]]="",VedAarnaSKUMaster[[#This Row],[Selling Price]]=0),"",CEILING(VedAarnaSKUMaster[[#This Row],[Selling Price]]/(1-20%),100)-1)</f>
        <v/>
      </c>
      <c r="V68">
        <f t="shared" si="24"/>
        <v>0</v>
      </c>
      <c r="W68" s="8"/>
      <c r="Z68" s="6" t="str">
        <f t="shared" si="15"/>
        <v/>
      </c>
      <c r="AA68" s="6" t="str">
        <f t="shared" si="16"/>
        <v/>
      </c>
      <c r="AB68" s="6" t="str">
        <f t="shared" si="17"/>
        <v/>
      </c>
      <c r="AC68" s="6" t="str">
        <f t="shared" si="18"/>
        <v/>
      </c>
      <c r="AD68" s="6" t="str">
        <f t="shared" si="19"/>
        <v/>
      </c>
      <c r="AE68" s="6" t="str">
        <f t="shared" si="20"/>
        <v/>
      </c>
      <c r="AF68" s="6" t="str">
        <f t="shared" si="21"/>
        <v/>
      </c>
      <c r="AG68" s="6" t="str">
        <f t="shared" si="22"/>
        <v/>
      </c>
      <c r="AH68" s="6" t="str">
        <f t="shared" si="23"/>
        <v/>
      </c>
    </row>
    <row r="69" spans="1:34">
      <c r="A69" s="9"/>
      <c r="C69" s="4" t="str">
        <f>IFERROR(VLOOKUP(B69,'Code Lists'!$A:$B,2,FALSE),"")</f>
        <v/>
      </c>
      <c r="F69" s="4" t="str">
        <f>IFERROR(VLOOKUP(E69,'Code Lists'!$D:$E,2,FALSE),"")</f>
        <v/>
      </c>
      <c r="H69" s="4" t="str">
        <f>IFERROR(VLOOKUP(G69,'Code Lists'!$G:$H,2,FALSE),"")</f>
        <v/>
      </c>
      <c r="J69" s="10"/>
      <c r="M69" s="11"/>
      <c r="Q69" s="7" t="str">
        <f>IF(VedAarnaSKUMaster[[#This Row],[HSN/SAC Code]]=998822,5%,IF(VedAarnaSKUMaster[[#This Row],[HSN/SAC Code]]=998391,18%,IF(VedAarnaSKUMaster[[#This Row],[HSN/SAC Code]]=998723,5%,"")))</f>
        <v/>
      </c>
      <c r="R69" s="5" t="str">
        <f t="shared" si="13"/>
        <v/>
      </c>
      <c r="S69" s="5" t="str">
        <f t="shared" si="14"/>
        <v/>
      </c>
      <c r="T69" s="11"/>
      <c r="U69" s="8" t="str">
        <f>IF(OR(VedAarnaSKUMaster[[#This Row],[Selling Price]]="",VedAarnaSKUMaster[[#This Row],[Selling Price]]=0),"",CEILING(VedAarnaSKUMaster[[#This Row],[Selling Price]]/(1-20%),100)-1)</f>
        <v/>
      </c>
      <c r="V69">
        <f t="shared" si="24"/>
        <v>0</v>
      </c>
      <c r="W69" s="8"/>
      <c r="Z69" s="6" t="str">
        <f t="shared" si="15"/>
        <v/>
      </c>
      <c r="AA69" s="6" t="str">
        <f t="shared" si="16"/>
        <v/>
      </c>
      <c r="AB69" s="6" t="str">
        <f t="shared" si="17"/>
        <v/>
      </c>
      <c r="AC69" s="6" t="str">
        <f t="shared" si="18"/>
        <v/>
      </c>
      <c r="AD69" s="6" t="str">
        <f t="shared" si="19"/>
        <v/>
      </c>
      <c r="AE69" s="6" t="str">
        <f t="shared" si="20"/>
        <v/>
      </c>
      <c r="AF69" s="6" t="str">
        <f t="shared" si="21"/>
        <v/>
      </c>
      <c r="AG69" s="6" t="str">
        <f t="shared" si="22"/>
        <v/>
      </c>
      <c r="AH69" s="6" t="str">
        <f t="shared" si="23"/>
        <v/>
      </c>
    </row>
    <row r="70" spans="1:34">
      <c r="A70" s="9"/>
      <c r="C70" s="4" t="str">
        <f>IFERROR(VLOOKUP(B70,'Code Lists'!$A:$B,2,FALSE),"")</f>
        <v/>
      </c>
      <c r="F70" s="4" t="str">
        <f>IFERROR(VLOOKUP(E70,'Code Lists'!$D:$E,2,FALSE),"")</f>
        <v/>
      </c>
      <c r="H70" s="4" t="str">
        <f>IFERROR(VLOOKUP(G70,'Code Lists'!$G:$H,2,FALSE),"")</f>
        <v/>
      </c>
      <c r="J70" s="10"/>
      <c r="M70" s="11"/>
      <c r="Q70" s="7" t="str">
        <f>IF(VedAarnaSKUMaster[[#This Row],[HSN/SAC Code]]=998822,5%,IF(VedAarnaSKUMaster[[#This Row],[HSN/SAC Code]]=998391,18%,IF(VedAarnaSKUMaster[[#This Row],[HSN/SAC Code]]=998723,5%,"")))</f>
        <v/>
      </c>
      <c r="R70" s="5" t="str">
        <f t="shared" si="13"/>
        <v/>
      </c>
      <c r="S70" s="5" t="str">
        <f t="shared" si="14"/>
        <v/>
      </c>
      <c r="T70" s="11"/>
      <c r="U70" s="8" t="str">
        <f>IF(OR(VedAarnaSKUMaster[[#This Row],[Selling Price]]="",VedAarnaSKUMaster[[#This Row],[Selling Price]]=0),"",CEILING(VedAarnaSKUMaster[[#This Row],[Selling Price]]/(1-20%),100)-1)</f>
        <v/>
      </c>
      <c r="V70">
        <f t="shared" si="24"/>
        <v>0</v>
      </c>
      <c r="W70" s="8"/>
      <c r="Z70" s="6" t="str">
        <f t="shared" si="15"/>
        <v/>
      </c>
      <c r="AA70" s="6" t="str">
        <f t="shared" si="16"/>
        <v/>
      </c>
      <c r="AB70" s="6" t="str">
        <f t="shared" si="17"/>
        <v/>
      </c>
      <c r="AC70" s="6" t="str">
        <f t="shared" si="18"/>
        <v/>
      </c>
      <c r="AD70" s="6" t="str">
        <f t="shared" si="19"/>
        <v/>
      </c>
      <c r="AE70" s="6" t="str">
        <f t="shared" si="20"/>
        <v/>
      </c>
      <c r="AF70" s="6" t="str">
        <f t="shared" si="21"/>
        <v/>
      </c>
      <c r="AG70" s="6" t="str">
        <f t="shared" si="22"/>
        <v/>
      </c>
      <c r="AH70" s="6" t="str">
        <f t="shared" si="23"/>
        <v/>
      </c>
    </row>
    <row r="71" spans="1:34">
      <c r="A71" s="9"/>
      <c r="C71" s="4" t="str">
        <f>IFERROR(VLOOKUP(B71,'Code Lists'!$A:$B,2,FALSE),"")</f>
        <v/>
      </c>
      <c r="F71" s="4" t="str">
        <f>IFERROR(VLOOKUP(E71,'Code Lists'!$D:$E,2,FALSE),"")</f>
        <v/>
      </c>
      <c r="H71" s="4" t="str">
        <f>IFERROR(VLOOKUP(G71,'Code Lists'!$G:$H,2,FALSE),"")</f>
        <v/>
      </c>
      <c r="J71" s="10"/>
      <c r="M71" s="11"/>
      <c r="Q71" s="7" t="str">
        <f>IF(VedAarnaSKUMaster[[#This Row],[HSN/SAC Code]]=998822,5%,IF(VedAarnaSKUMaster[[#This Row],[HSN/SAC Code]]=998391,18%,IF(VedAarnaSKUMaster[[#This Row],[HSN/SAC Code]]=998723,5%,"")))</f>
        <v/>
      </c>
      <c r="R71" s="5" t="str">
        <f t="shared" si="13"/>
        <v/>
      </c>
      <c r="S71" s="5" t="str">
        <f t="shared" si="14"/>
        <v/>
      </c>
      <c r="T71" s="11"/>
      <c r="U71" s="8" t="str">
        <f>IF(OR(VedAarnaSKUMaster[[#This Row],[Selling Price]]="",VedAarnaSKUMaster[[#This Row],[Selling Price]]=0),"",CEILING(VedAarnaSKUMaster[[#This Row],[Selling Price]]/(1-20%),100)-1)</f>
        <v/>
      </c>
      <c r="V71">
        <f t="shared" si="24"/>
        <v>0</v>
      </c>
      <c r="W71" s="8"/>
      <c r="Z71" s="6" t="str">
        <f t="shared" si="15"/>
        <v/>
      </c>
      <c r="AA71" s="6" t="str">
        <f t="shared" si="16"/>
        <v/>
      </c>
      <c r="AB71" s="6" t="str">
        <f t="shared" si="17"/>
        <v/>
      </c>
      <c r="AC71" s="6" t="str">
        <f t="shared" si="18"/>
        <v/>
      </c>
      <c r="AD71" s="6" t="str">
        <f t="shared" si="19"/>
        <v/>
      </c>
      <c r="AE71" s="6" t="str">
        <f t="shared" si="20"/>
        <v/>
      </c>
      <c r="AF71" s="6" t="str">
        <f t="shared" si="21"/>
        <v/>
      </c>
      <c r="AG71" s="6" t="str">
        <f t="shared" si="22"/>
        <v/>
      </c>
      <c r="AH71" s="6" t="str">
        <f t="shared" si="23"/>
        <v/>
      </c>
    </row>
    <row r="72" spans="1:34">
      <c r="A72" s="9"/>
      <c r="C72" s="4" t="str">
        <f>IFERROR(VLOOKUP(B72,'Code Lists'!$A:$B,2,FALSE),"")</f>
        <v/>
      </c>
      <c r="F72" s="4" t="str">
        <f>IFERROR(VLOOKUP(E72,'Code Lists'!$D:$E,2,FALSE),"")</f>
        <v/>
      </c>
      <c r="H72" s="4" t="str">
        <f>IFERROR(VLOOKUP(G72,'Code Lists'!$G:$H,2,FALSE),"")</f>
        <v/>
      </c>
      <c r="J72" s="10"/>
      <c r="M72" s="11"/>
      <c r="Q72" s="7" t="str">
        <f>IF(VedAarnaSKUMaster[[#This Row],[HSN/SAC Code]]=998822,5%,IF(VedAarnaSKUMaster[[#This Row],[HSN/SAC Code]]=998391,18%,IF(VedAarnaSKUMaster[[#This Row],[HSN/SAC Code]]=998723,5%,"")))</f>
        <v/>
      </c>
      <c r="R72" s="5" t="str">
        <f t="shared" si="13"/>
        <v/>
      </c>
      <c r="S72" s="5" t="str">
        <f t="shared" si="14"/>
        <v/>
      </c>
      <c r="T72" s="11"/>
      <c r="U72" s="8" t="str">
        <f>IF(OR(VedAarnaSKUMaster[[#This Row],[Selling Price]]="",VedAarnaSKUMaster[[#This Row],[Selling Price]]=0),"",CEILING(VedAarnaSKUMaster[[#This Row],[Selling Price]]/(1-20%),100)-1)</f>
        <v/>
      </c>
      <c r="V72">
        <f t="shared" si="24"/>
        <v>0</v>
      </c>
      <c r="W72" s="8"/>
      <c r="Z72" s="6" t="str">
        <f t="shared" si="15"/>
        <v/>
      </c>
      <c r="AA72" s="6" t="str">
        <f t="shared" si="16"/>
        <v/>
      </c>
      <c r="AB72" s="6" t="str">
        <f t="shared" si="17"/>
        <v/>
      </c>
      <c r="AC72" s="6" t="str">
        <f t="shared" si="18"/>
        <v/>
      </c>
      <c r="AD72" s="6" t="str">
        <f t="shared" si="19"/>
        <v/>
      </c>
      <c r="AE72" s="6" t="str">
        <f t="shared" si="20"/>
        <v/>
      </c>
      <c r="AF72" s="6" t="str">
        <f t="shared" si="21"/>
        <v/>
      </c>
      <c r="AG72" s="6" t="str">
        <f t="shared" si="22"/>
        <v/>
      </c>
      <c r="AH72" s="6" t="str">
        <f t="shared" si="23"/>
        <v/>
      </c>
    </row>
    <row r="73" spans="1:34">
      <c r="A73" s="9"/>
      <c r="C73" s="4" t="str">
        <f>IFERROR(VLOOKUP(B73,'Code Lists'!$A:$B,2,FALSE),"")</f>
        <v/>
      </c>
      <c r="F73" s="4" t="str">
        <f>IFERROR(VLOOKUP(E73,'Code Lists'!$D:$E,2,FALSE),"")</f>
        <v/>
      </c>
      <c r="H73" s="4" t="str">
        <f>IFERROR(VLOOKUP(G73,'Code Lists'!$G:$H,2,FALSE),"")</f>
        <v/>
      </c>
      <c r="J73" s="10"/>
      <c r="M73" s="11"/>
      <c r="Q73" s="7" t="str">
        <f>IF(VedAarnaSKUMaster[[#This Row],[HSN/SAC Code]]=998822,5%,IF(VedAarnaSKUMaster[[#This Row],[HSN/SAC Code]]=998391,18%,IF(VedAarnaSKUMaster[[#This Row],[HSN/SAC Code]]=998723,5%,"")))</f>
        <v/>
      </c>
      <c r="R73" s="5" t="str">
        <f t="shared" si="13"/>
        <v/>
      </c>
      <c r="S73" s="5" t="str">
        <f t="shared" si="14"/>
        <v/>
      </c>
      <c r="T73" s="11"/>
      <c r="U73" s="8" t="str">
        <f>IF(OR(VedAarnaSKUMaster[[#This Row],[Selling Price]]="",VedAarnaSKUMaster[[#This Row],[Selling Price]]=0),"",CEILING(VedAarnaSKUMaster[[#This Row],[Selling Price]]/(1-20%),100)-1)</f>
        <v/>
      </c>
      <c r="V73">
        <f t="shared" si="24"/>
        <v>0</v>
      </c>
      <c r="W73" s="8"/>
      <c r="Z73" s="6" t="str">
        <f t="shared" si="15"/>
        <v/>
      </c>
      <c r="AA73" s="6" t="str">
        <f t="shared" si="16"/>
        <v/>
      </c>
      <c r="AB73" s="6" t="str">
        <f t="shared" si="17"/>
        <v/>
      </c>
      <c r="AC73" s="6" t="str">
        <f t="shared" si="18"/>
        <v/>
      </c>
      <c r="AD73" s="6" t="str">
        <f t="shared" si="19"/>
        <v/>
      </c>
      <c r="AE73" s="6" t="str">
        <f t="shared" si="20"/>
        <v/>
      </c>
      <c r="AF73" s="6" t="str">
        <f t="shared" si="21"/>
        <v/>
      </c>
      <c r="AG73" s="6" t="str">
        <f t="shared" si="22"/>
        <v/>
      </c>
      <c r="AH73" s="6" t="str">
        <f t="shared" si="23"/>
        <v/>
      </c>
    </row>
    <row r="74" spans="1:34">
      <c r="A74" s="9"/>
      <c r="C74" s="4" t="str">
        <f>IFERROR(VLOOKUP(B74,'Code Lists'!$A:$B,2,FALSE),"")</f>
        <v/>
      </c>
      <c r="F74" s="4" t="str">
        <f>IFERROR(VLOOKUP(E74,'Code Lists'!$D:$E,2,FALSE),"")</f>
        <v/>
      </c>
      <c r="H74" s="4" t="str">
        <f>IFERROR(VLOOKUP(G74,'Code Lists'!$G:$H,2,FALSE),"")</f>
        <v/>
      </c>
      <c r="J74" s="10"/>
      <c r="M74" s="11"/>
      <c r="Q74" s="7" t="str">
        <f>IF(VedAarnaSKUMaster[[#This Row],[HSN/SAC Code]]=998822,5%,IF(VedAarnaSKUMaster[[#This Row],[HSN/SAC Code]]=998391,18%,IF(VedAarnaSKUMaster[[#This Row],[HSN/SAC Code]]=998723,5%,"")))</f>
        <v/>
      </c>
      <c r="R74" s="5" t="str">
        <f t="shared" si="13"/>
        <v/>
      </c>
      <c r="S74" s="5" t="str">
        <f t="shared" si="14"/>
        <v/>
      </c>
      <c r="T74" s="11"/>
      <c r="U74" s="8" t="str">
        <f>IF(OR(VedAarnaSKUMaster[[#This Row],[Selling Price]]="",VedAarnaSKUMaster[[#This Row],[Selling Price]]=0),"",CEILING(VedAarnaSKUMaster[[#This Row],[Selling Price]]/(1-20%),100)-1)</f>
        <v/>
      </c>
      <c r="V74">
        <f t="shared" si="24"/>
        <v>0</v>
      </c>
      <c r="W74" s="8"/>
      <c r="Z74" s="6" t="str">
        <f t="shared" si="15"/>
        <v/>
      </c>
      <c r="AA74" s="6" t="str">
        <f t="shared" si="16"/>
        <v/>
      </c>
      <c r="AB74" s="6" t="str">
        <f t="shared" si="17"/>
        <v/>
      </c>
      <c r="AC74" s="6" t="str">
        <f t="shared" si="18"/>
        <v/>
      </c>
      <c r="AD74" s="6" t="str">
        <f t="shared" si="19"/>
        <v/>
      </c>
      <c r="AE74" s="6" t="str">
        <f t="shared" si="20"/>
        <v/>
      </c>
      <c r="AF74" s="6" t="str">
        <f t="shared" si="21"/>
        <v/>
      </c>
      <c r="AG74" s="6" t="str">
        <f t="shared" si="22"/>
        <v/>
      </c>
      <c r="AH74" s="6" t="str">
        <f t="shared" si="23"/>
        <v/>
      </c>
    </row>
    <row r="75" spans="1:34">
      <c r="A75" s="9"/>
      <c r="C75" s="4" t="str">
        <f>IFERROR(VLOOKUP(B75,'Code Lists'!$A:$B,2,FALSE),"")</f>
        <v/>
      </c>
      <c r="F75" s="4" t="str">
        <f>IFERROR(VLOOKUP(E75,'Code Lists'!$D:$E,2,FALSE),"")</f>
        <v/>
      </c>
      <c r="H75" s="4" t="str">
        <f>IFERROR(VLOOKUP(G75,'Code Lists'!$G:$H,2,FALSE),"")</f>
        <v/>
      </c>
      <c r="J75" s="10"/>
      <c r="M75" s="11"/>
      <c r="Q75" s="7" t="str">
        <f>IF(VedAarnaSKUMaster[[#This Row],[HSN/SAC Code]]=998822,5%,IF(VedAarnaSKUMaster[[#This Row],[HSN/SAC Code]]=998391,18%,IF(VedAarnaSKUMaster[[#This Row],[HSN/SAC Code]]=998723,5%,"")))</f>
        <v/>
      </c>
      <c r="R75" s="5" t="str">
        <f t="shared" si="13"/>
        <v/>
      </c>
      <c r="S75" s="5" t="str">
        <f t="shared" si="14"/>
        <v/>
      </c>
      <c r="T75" s="11"/>
      <c r="U75" s="8" t="str">
        <f>IF(OR(VedAarnaSKUMaster[[#This Row],[Selling Price]]="",VedAarnaSKUMaster[[#This Row],[Selling Price]]=0),"",CEILING(VedAarnaSKUMaster[[#This Row],[Selling Price]]/(1-20%),100)-1)</f>
        <v/>
      </c>
      <c r="V75">
        <f t="shared" si="24"/>
        <v>0</v>
      </c>
      <c r="W75" s="8"/>
      <c r="Z75" s="6" t="str">
        <f t="shared" si="15"/>
        <v/>
      </c>
      <c r="AA75" s="6" t="str">
        <f t="shared" si="16"/>
        <v/>
      </c>
      <c r="AB75" s="6" t="str">
        <f t="shared" si="17"/>
        <v/>
      </c>
      <c r="AC75" s="6" t="str">
        <f t="shared" si="18"/>
        <v/>
      </c>
      <c r="AD75" s="6" t="str">
        <f t="shared" si="19"/>
        <v/>
      </c>
      <c r="AE75" s="6" t="str">
        <f t="shared" si="20"/>
        <v/>
      </c>
      <c r="AF75" s="6" t="str">
        <f t="shared" si="21"/>
        <v/>
      </c>
      <c r="AG75" s="6" t="str">
        <f t="shared" si="22"/>
        <v/>
      </c>
      <c r="AH75" s="6" t="str">
        <f t="shared" si="23"/>
        <v/>
      </c>
    </row>
    <row r="76" spans="1:34">
      <c r="A76" s="9"/>
      <c r="C76" s="4" t="str">
        <f>IFERROR(VLOOKUP(B76,'Code Lists'!$A:$B,2,FALSE),"")</f>
        <v/>
      </c>
      <c r="F76" s="4" t="str">
        <f>IFERROR(VLOOKUP(E76,'Code Lists'!$D:$E,2,FALSE),"")</f>
        <v/>
      </c>
      <c r="H76" s="4" t="str">
        <f>IFERROR(VLOOKUP(G76,'Code Lists'!$G:$H,2,FALSE),"")</f>
        <v/>
      </c>
      <c r="J76" s="10"/>
      <c r="M76" s="11"/>
      <c r="Q76" s="7" t="str">
        <f>IF(VedAarnaSKUMaster[[#This Row],[HSN/SAC Code]]=998822,5%,IF(VedAarnaSKUMaster[[#This Row],[HSN/SAC Code]]=998391,18%,IF(VedAarnaSKUMaster[[#This Row],[HSN/SAC Code]]=998723,5%,"")))</f>
        <v/>
      </c>
      <c r="R76" s="5" t="str">
        <f t="shared" si="13"/>
        <v/>
      </c>
      <c r="S76" s="5" t="str">
        <f t="shared" si="14"/>
        <v/>
      </c>
      <c r="T76" s="11"/>
      <c r="U76" s="8" t="str">
        <f>IF(OR(VedAarnaSKUMaster[[#This Row],[Selling Price]]="",VedAarnaSKUMaster[[#This Row],[Selling Price]]=0),"",CEILING(VedAarnaSKUMaster[[#This Row],[Selling Price]]/(1-20%),100)-1)</f>
        <v/>
      </c>
      <c r="V76">
        <f t="shared" si="24"/>
        <v>0</v>
      </c>
      <c r="W76" s="8"/>
      <c r="Z76" s="6" t="str">
        <f t="shared" si="15"/>
        <v/>
      </c>
      <c r="AA76" s="6" t="str">
        <f t="shared" si="16"/>
        <v/>
      </c>
      <c r="AB76" s="6" t="str">
        <f t="shared" si="17"/>
        <v/>
      </c>
      <c r="AC76" s="6" t="str">
        <f t="shared" si="18"/>
        <v/>
      </c>
      <c r="AD76" s="6" t="str">
        <f t="shared" si="19"/>
        <v/>
      </c>
      <c r="AE76" s="6" t="str">
        <f t="shared" si="20"/>
        <v/>
      </c>
      <c r="AF76" s="6" t="str">
        <f t="shared" si="21"/>
        <v/>
      </c>
      <c r="AG76" s="6" t="str">
        <f t="shared" si="22"/>
        <v/>
      </c>
      <c r="AH76" s="6" t="str">
        <f t="shared" si="23"/>
        <v/>
      </c>
    </row>
    <row r="77" spans="1:34">
      <c r="A77" s="9"/>
      <c r="C77" s="4" t="str">
        <f>IFERROR(VLOOKUP(B77,'Code Lists'!$A:$B,2,FALSE),"")</f>
        <v/>
      </c>
      <c r="F77" s="4" t="str">
        <f>IFERROR(VLOOKUP(E77,'Code Lists'!$D:$E,2,FALSE),"")</f>
        <v/>
      </c>
      <c r="H77" s="4" t="str">
        <f>IFERROR(VLOOKUP(G77,'Code Lists'!$G:$H,2,FALSE),"")</f>
        <v/>
      </c>
      <c r="J77" s="10"/>
      <c r="M77" s="11"/>
      <c r="Q77" s="7" t="str">
        <f>IF(VedAarnaSKUMaster[[#This Row],[HSN/SAC Code]]=998822,5%,IF(VedAarnaSKUMaster[[#This Row],[HSN/SAC Code]]=998391,18%,IF(VedAarnaSKUMaster[[#This Row],[HSN/SAC Code]]=998723,5%,"")))</f>
        <v/>
      </c>
      <c r="R77" s="5" t="str">
        <f t="shared" si="13"/>
        <v/>
      </c>
      <c r="S77" s="5" t="str">
        <f t="shared" si="14"/>
        <v/>
      </c>
      <c r="T77" s="11"/>
      <c r="U77" s="8" t="str">
        <f>IF(OR(VedAarnaSKUMaster[[#This Row],[Selling Price]]="",VedAarnaSKUMaster[[#This Row],[Selling Price]]=0),"",CEILING(VedAarnaSKUMaster[[#This Row],[Selling Price]]/(1-20%),100)-1)</f>
        <v/>
      </c>
      <c r="V77">
        <f t="shared" si="24"/>
        <v>0</v>
      </c>
      <c r="W77" s="8"/>
      <c r="Z77" s="6" t="str">
        <f t="shared" si="15"/>
        <v/>
      </c>
      <c r="AA77" s="6" t="str">
        <f t="shared" si="16"/>
        <v/>
      </c>
      <c r="AB77" s="6" t="str">
        <f t="shared" si="17"/>
        <v/>
      </c>
      <c r="AC77" s="6" t="str">
        <f t="shared" si="18"/>
        <v/>
      </c>
      <c r="AD77" s="6" t="str">
        <f t="shared" si="19"/>
        <v/>
      </c>
      <c r="AE77" s="6" t="str">
        <f t="shared" si="20"/>
        <v/>
      </c>
      <c r="AF77" s="6" t="str">
        <f t="shared" si="21"/>
        <v/>
      </c>
      <c r="AG77" s="6" t="str">
        <f t="shared" si="22"/>
        <v/>
      </c>
      <c r="AH77" s="6" t="str">
        <f t="shared" si="23"/>
        <v/>
      </c>
    </row>
    <row r="78" spans="1:34">
      <c r="A78" s="9"/>
      <c r="C78" s="4" t="str">
        <f>IFERROR(VLOOKUP(B78,'Code Lists'!$A:$B,2,FALSE),"")</f>
        <v/>
      </c>
      <c r="F78" s="4" t="str">
        <f>IFERROR(VLOOKUP(E78,'Code Lists'!$D:$E,2,FALSE),"")</f>
        <v/>
      </c>
      <c r="H78" s="4" t="str">
        <f>IFERROR(VLOOKUP(G78,'Code Lists'!$G:$H,2,FALSE),"")</f>
        <v/>
      </c>
      <c r="J78" s="10"/>
      <c r="M78" s="11"/>
      <c r="Q78" s="7" t="str">
        <f>IF(VedAarnaSKUMaster[[#This Row],[HSN/SAC Code]]=998822,5%,IF(VedAarnaSKUMaster[[#This Row],[HSN/SAC Code]]=998391,18%,IF(VedAarnaSKUMaster[[#This Row],[HSN/SAC Code]]=998723,5%,"")))</f>
        <v/>
      </c>
      <c r="R78" s="5" t="str">
        <f t="shared" si="13"/>
        <v/>
      </c>
      <c r="S78" s="5" t="str">
        <f t="shared" si="14"/>
        <v/>
      </c>
      <c r="T78" s="11"/>
      <c r="U78" s="8" t="str">
        <f>IF(OR(VedAarnaSKUMaster[[#This Row],[Selling Price]]="",VedAarnaSKUMaster[[#This Row],[Selling Price]]=0),"",CEILING(VedAarnaSKUMaster[[#This Row],[Selling Price]]/(1-20%),100)-1)</f>
        <v/>
      </c>
      <c r="V78">
        <f t="shared" si="24"/>
        <v>0</v>
      </c>
      <c r="W78" s="8"/>
      <c r="Z78" s="6" t="str">
        <f t="shared" si="15"/>
        <v/>
      </c>
      <c r="AA78" s="6" t="str">
        <f t="shared" si="16"/>
        <v/>
      </c>
      <c r="AB78" s="6" t="str">
        <f t="shared" si="17"/>
        <v/>
      </c>
      <c r="AC78" s="6" t="str">
        <f t="shared" si="18"/>
        <v/>
      </c>
      <c r="AD78" s="6" t="str">
        <f t="shared" si="19"/>
        <v/>
      </c>
      <c r="AE78" s="6" t="str">
        <f t="shared" si="20"/>
        <v/>
      </c>
      <c r="AF78" s="6" t="str">
        <f t="shared" si="21"/>
        <v/>
      </c>
      <c r="AG78" s="6" t="str">
        <f t="shared" si="22"/>
        <v/>
      </c>
      <c r="AH78" s="6" t="str">
        <f t="shared" si="23"/>
        <v/>
      </c>
    </row>
    <row r="79" spans="1:34">
      <c r="A79" s="9"/>
      <c r="C79" s="4" t="str">
        <f>IFERROR(VLOOKUP(B79,'Code Lists'!$A:$B,2,FALSE),"")</f>
        <v/>
      </c>
      <c r="F79" s="4" t="str">
        <f>IFERROR(VLOOKUP(E79,'Code Lists'!$D:$E,2,FALSE),"")</f>
        <v/>
      </c>
      <c r="H79" s="4" t="str">
        <f>IFERROR(VLOOKUP(G79,'Code Lists'!$G:$H,2,FALSE),"")</f>
        <v/>
      </c>
      <c r="J79" s="10"/>
      <c r="M79" s="11"/>
      <c r="Q79" s="7" t="str">
        <f>IF(VedAarnaSKUMaster[[#This Row],[HSN/SAC Code]]=998822,5%,IF(VedAarnaSKUMaster[[#This Row],[HSN/SAC Code]]=998391,18%,IF(VedAarnaSKUMaster[[#This Row],[HSN/SAC Code]]=998723,5%,"")))</f>
        <v/>
      </c>
      <c r="R79" s="5" t="str">
        <f t="shared" si="13"/>
        <v/>
      </c>
      <c r="S79" s="5" t="str">
        <f t="shared" si="14"/>
        <v/>
      </c>
      <c r="T79" s="11"/>
      <c r="U79" s="8" t="str">
        <f>IF(OR(VedAarnaSKUMaster[[#This Row],[Selling Price]]="",VedAarnaSKUMaster[[#This Row],[Selling Price]]=0),"",CEILING(VedAarnaSKUMaster[[#This Row],[Selling Price]]/(1-20%),100)-1)</f>
        <v/>
      </c>
      <c r="V79">
        <f t="shared" si="24"/>
        <v>0</v>
      </c>
      <c r="W79" s="8"/>
      <c r="Z79" s="6" t="str">
        <f t="shared" si="15"/>
        <v/>
      </c>
      <c r="AA79" s="6" t="str">
        <f t="shared" si="16"/>
        <v/>
      </c>
      <c r="AB79" s="6" t="str">
        <f t="shared" si="17"/>
        <v/>
      </c>
      <c r="AC79" s="6" t="str">
        <f t="shared" si="18"/>
        <v/>
      </c>
      <c r="AD79" s="6" t="str">
        <f t="shared" si="19"/>
        <v/>
      </c>
      <c r="AE79" s="6" t="str">
        <f t="shared" si="20"/>
        <v/>
      </c>
      <c r="AF79" s="6" t="str">
        <f t="shared" si="21"/>
        <v/>
      </c>
      <c r="AG79" s="6" t="str">
        <f t="shared" si="22"/>
        <v/>
      </c>
      <c r="AH79" s="6" t="str">
        <f t="shared" si="23"/>
        <v/>
      </c>
    </row>
    <row r="80" spans="1:34">
      <c r="A80" s="9"/>
      <c r="C80" s="4" t="str">
        <f>IFERROR(VLOOKUP(B80,'Code Lists'!$A:$B,2,FALSE),"")</f>
        <v/>
      </c>
      <c r="F80" s="4" t="str">
        <f>IFERROR(VLOOKUP(E80,'Code Lists'!$D:$E,2,FALSE),"")</f>
        <v/>
      </c>
      <c r="H80" s="4" t="str">
        <f>IFERROR(VLOOKUP(G80,'Code Lists'!$G:$H,2,FALSE),"")</f>
        <v/>
      </c>
      <c r="J80" s="10"/>
      <c r="M80" s="11"/>
      <c r="Q80" s="7" t="str">
        <f>IF(VedAarnaSKUMaster[[#This Row],[HSN/SAC Code]]=998822,5%,IF(VedAarnaSKUMaster[[#This Row],[HSN/SAC Code]]=998391,18%,IF(VedAarnaSKUMaster[[#This Row],[HSN/SAC Code]]=998723,5%,"")))</f>
        <v/>
      </c>
      <c r="R80" s="5" t="str">
        <f t="shared" si="13"/>
        <v/>
      </c>
      <c r="S80" s="5" t="str">
        <f t="shared" si="14"/>
        <v/>
      </c>
      <c r="T80" s="11"/>
      <c r="U80" s="8" t="str">
        <f>IF(OR(VedAarnaSKUMaster[[#This Row],[Selling Price]]="",VedAarnaSKUMaster[[#This Row],[Selling Price]]=0),"",CEILING(VedAarnaSKUMaster[[#This Row],[Selling Price]]/(1-20%),100)-1)</f>
        <v/>
      </c>
      <c r="V80">
        <f t="shared" si="24"/>
        <v>0</v>
      </c>
      <c r="W80" s="8"/>
      <c r="Z80" s="6" t="str">
        <f t="shared" si="15"/>
        <v/>
      </c>
      <c r="AA80" s="6" t="str">
        <f t="shared" si="16"/>
        <v/>
      </c>
      <c r="AB80" s="6" t="str">
        <f t="shared" si="17"/>
        <v/>
      </c>
      <c r="AC80" s="6" t="str">
        <f t="shared" si="18"/>
        <v/>
      </c>
      <c r="AD80" s="6" t="str">
        <f t="shared" si="19"/>
        <v/>
      </c>
      <c r="AE80" s="6" t="str">
        <f t="shared" si="20"/>
        <v/>
      </c>
      <c r="AF80" s="6" t="str">
        <f t="shared" si="21"/>
        <v/>
      </c>
      <c r="AG80" s="6" t="str">
        <f t="shared" si="22"/>
        <v/>
      </c>
      <c r="AH80" s="6" t="str">
        <f t="shared" si="23"/>
        <v/>
      </c>
    </row>
    <row r="81" spans="1:34">
      <c r="A81" s="9"/>
      <c r="C81" s="4" t="str">
        <f>IFERROR(VLOOKUP(B81,'Code Lists'!$A:$B,2,FALSE),"")</f>
        <v/>
      </c>
      <c r="F81" s="4" t="str">
        <f>IFERROR(VLOOKUP(E81,'Code Lists'!$D:$E,2,FALSE),"")</f>
        <v/>
      </c>
      <c r="H81" s="4" t="str">
        <f>IFERROR(VLOOKUP(G81,'Code Lists'!$G:$H,2,FALSE),"")</f>
        <v/>
      </c>
      <c r="J81" s="10"/>
      <c r="M81" s="11"/>
      <c r="Q81" s="7" t="str">
        <f>IF(VedAarnaSKUMaster[[#This Row],[HSN/SAC Code]]=998822,5%,IF(VedAarnaSKUMaster[[#This Row],[HSN/SAC Code]]=998391,18%,IF(VedAarnaSKUMaster[[#This Row],[HSN/SAC Code]]=998723,5%,"")))</f>
        <v/>
      </c>
      <c r="R81" s="5" t="str">
        <f t="shared" si="13"/>
        <v/>
      </c>
      <c r="S81" s="5" t="str">
        <f t="shared" si="14"/>
        <v/>
      </c>
      <c r="T81" s="11"/>
      <c r="U81" s="8" t="str">
        <f>IF(OR(VedAarnaSKUMaster[[#This Row],[Selling Price]]="",VedAarnaSKUMaster[[#This Row],[Selling Price]]=0),"",CEILING(VedAarnaSKUMaster[[#This Row],[Selling Price]]/(1-20%),100)-1)</f>
        <v/>
      </c>
      <c r="V81">
        <f t="shared" si="24"/>
        <v>0</v>
      </c>
      <c r="W81" s="8"/>
      <c r="Z81" s="6" t="str">
        <f t="shared" si="15"/>
        <v/>
      </c>
      <c r="AA81" s="6" t="str">
        <f t="shared" si="16"/>
        <v/>
      </c>
      <c r="AB81" s="6" t="str">
        <f t="shared" si="17"/>
        <v/>
      </c>
      <c r="AC81" s="6" t="str">
        <f t="shared" si="18"/>
        <v/>
      </c>
      <c r="AD81" s="6" t="str">
        <f t="shared" si="19"/>
        <v/>
      </c>
      <c r="AE81" s="6" t="str">
        <f t="shared" si="20"/>
        <v/>
      </c>
      <c r="AF81" s="6" t="str">
        <f t="shared" si="21"/>
        <v/>
      </c>
      <c r="AG81" s="6" t="str">
        <f t="shared" si="22"/>
        <v/>
      </c>
      <c r="AH81" s="6" t="str">
        <f t="shared" si="23"/>
        <v/>
      </c>
    </row>
    <row r="82" spans="1:34">
      <c r="A82" s="9"/>
      <c r="C82" s="4" t="str">
        <f>IFERROR(VLOOKUP(B82,'Code Lists'!$A:$B,2,FALSE),"")</f>
        <v/>
      </c>
      <c r="F82" s="4" t="str">
        <f>IFERROR(VLOOKUP(E82,'Code Lists'!$D:$E,2,FALSE),"")</f>
        <v/>
      </c>
      <c r="H82" s="4" t="str">
        <f>IFERROR(VLOOKUP(G82,'Code Lists'!$G:$H,2,FALSE),"")</f>
        <v/>
      </c>
      <c r="J82" s="10"/>
      <c r="M82" s="11"/>
      <c r="Q82" s="7" t="str">
        <f>IF(VedAarnaSKUMaster[[#This Row],[HSN/SAC Code]]=998822,5%,IF(VedAarnaSKUMaster[[#This Row],[HSN/SAC Code]]=998391,18%,IF(VedAarnaSKUMaster[[#This Row],[HSN/SAC Code]]=998723,5%,"")))</f>
        <v/>
      </c>
      <c r="R82" s="5" t="str">
        <f t="shared" si="13"/>
        <v/>
      </c>
      <c r="S82" s="5" t="str">
        <f t="shared" si="14"/>
        <v/>
      </c>
      <c r="T82" s="11"/>
      <c r="U82" s="8" t="str">
        <f>IF(OR(VedAarnaSKUMaster[[#This Row],[Selling Price]]="",VedAarnaSKUMaster[[#This Row],[Selling Price]]=0),"",CEILING(VedAarnaSKUMaster[[#This Row],[Selling Price]]/(1-20%),100)-1)</f>
        <v/>
      </c>
      <c r="V82">
        <f t="shared" si="24"/>
        <v>0</v>
      </c>
      <c r="W82" s="8"/>
      <c r="Z82" s="6" t="str">
        <f t="shared" si="15"/>
        <v/>
      </c>
      <c r="AA82" s="6" t="str">
        <f t="shared" si="16"/>
        <v/>
      </c>
      <c r="AB82" s="6" t="str">
        <f t="shared" si="17"/>
        <v/>
      </c>
      <c r="AC82" s="6" t="str">
        <f t="shared" si="18"/>
        <v/>
      </c>
      <c r="AD82" s="6" t="str">
        <f t="shared" si="19"/>
        <v/>
      </c>
      <c r="AE82" s="6" t="str">
        <f t="shared" si="20"/>
        <v/>
      </c>
      <c r="AF82" s="6" t="str">
        <f t="shared" si="21"/>
        <v/>
      </c>
      <c r="AG82" s="6" t="str">
        <f t="shared" si="22"/>
        <v/>
      </c>
      <c r="AH82" s="6" t="str">
        <f t="shared" si="23"/>
        <v/>
      </c>
    </row>
    <row r="83" spans="1:34">
      <c r="A83" s="9"/>
      <c r="C83" s="4" t="str">
        <f>IFERROR(VLOOKUP(B83,'Code Lists'!$A:$B,2,FALSE),"")</f>
        <v/>
      </c>
      <c r="F83" s="4" t="str">
        <f>IFERROR(VLOOKUP(E83,'Code Lists'!$D:$E,2,FALSE),"")</f>
        <v/>
      </c>
      <c r="H83" s="4" t="str">
        <f>IFERROR(VLOOKUP(G83,'Code Lists'!$G:$H,2,FALSE),"")</f>
        <v/>
      </c>
      <c r="J83" s="10"/>
      <c r="M83" s="11"/>
      <c r="Q83" s="7" t="str">
        <f>IF(VedAarnaSKUMaster[[#This Row],[HSN/SAC Code]]=998822,5%,IF(VedAarnaSKUMaster[[#This Row],[HSN/SAC Code]]=998391,18%,IF(VedAarnaSKUMaster[[#This Row],[HSN/SAC Code]]=998723,5%,"")))</f>
        <v/>
      </c>
      <c r="R83" s="5" t="str">
        <f t="shared" si="13"/>
        <v/>
      </c>
      <c r="S83" s="5" t="str">
        <f t="shared" si="14"/>
        <v/>
      </c>
      <c r="T83" s="11"/>
      <c r="U83" s="8" t="str">
        <f>IF(OR(VedAarnaSKUMaster[[#This Row],[Selling Price]]="",VedAarnaSKUMaster[[#This Row],[Selling Price]]=0),"",CEILING(VedAarnaSKUMaster[[#This Row],[Selling Price]]/(1-20%),100)-1)</f>
        <v/>
      </c>
      <c r="V83">
        <f t="shared" si="24"/>
        <v>0</v>
      </c>
      <c r="W83" s="8"/>
      <c r="Z83" s="6" t="str">
        <f t="shared" si="15"/>
        <v/>
      </c>
      <c r="AA83" s="6" t="str">
        <f t="shared" si="16"/>
        <v/>
      </c>
      <c r="AB83" s="6" t="str">
        <f t="shared" si="17"/>
        <v/>
      </c>
      <c r="AC83" s="6" t="str">
        <f t="shared" si="18"/>
        <v/>
      </c>
      <c r="AD83" s="6" t="str">
        <f t="shared" si="19"/>
        <v/>
      </c>
      <c r="AE83" s="6" t="str">
        <f t="shared" si="20"/>
        <v/>
      </c>
      <c r="AF83" s="6" t="str">
        <f t="shared" si="21"/>
        <v/>
      </c>
      <c r="AG83" s="6" t="str">
        <f t="shared" si="22"/>
        <v/>
      </c>
      <c r="AH83" s="6" t="str">
        <f t="shared" si="23"/>
        <v/>
      </c>
    </row>
    <row r="84" spans="1:34">
      <c r="A84" s="9"/>
      <c r="C84" s="4" t="str">
        <f>IFERROR(VLOOKUP(B84,'Code Lists'!$A:$B,2,FALSE),"")</f>
        <v/>
      </c>
      <c r="F84" s="4" t="str">
        <f>IFERROR(VLOOKUP(E84,'Code Lists'!$D:$E,2,FALSE),"")</f>
        <v/>
      </c>
      <c r="H84" s="4" t="str">
        <f>IFERROR(VLOOKUP(G84,'Code Lists'!$G:$H,2,FALSE),"")</f>
        <v/>
      </c>
      <c r="J84" s="10"/>
      <c r="M84" s="11"/>
      <c r="Q84" s="7" t="str">
        <f>IF(VedAarnaSKUMaster[[#This Row],[HSN/SAC Code]]=998822,5%,IF(VedAarnaSKUMaster[[#This Row],[HSN/SAC Code]]=998391,18%,IF(VedAarnaSKUMaster[[#This Row],[HSN/SAC Code]]=998723,5%,"")))</f>
        <v/>
      </c>
      <c r="R84" s="5" t="str">
        <f t="shared" si="13"/>
        <v/>
      </c>
      <c r="S84" s="5" t="str">
        <f t="shared" si="14"/>
        <v/>
      </c>
      <c r="T84" s="11"/>
      <c r="U84" s="8" t="str">
        <f>IF(OR(VedAarnaSKUMaster[[#This Row],[Selling Price]]="",VedAarnaSKUMaster[[#This Row],[Selling Price]]=0),"",CEILING(VedAarnaSKUMaster[[#This Row],[Selling Price]]/(1-20%),100)-1)</f>
        <v/>
      </c>
      <c r="V84">
        <f t="shared" si="24"/>
        <v>0</v>
      </c>
      <c r="W84" s="8"/>
      <c r="Z84" s="6" t="str">
        <f t="shared" si="15"/>
        <v/>
      </c>
      <c r="AA84" s="6" t="str">
        <f t="shared" si="16"/>
        <v/>
      </c>
      <c r="AB84" s="6" t="str">
        <f t="shared" si="17"/>
        <v/>
      </c>
      <c r="AC84" s="6" t="str">
        <f t="shared" si="18"/>
        <v/>
      </c>
      <c r="AD84" s="6" t="str">
        <f t="shared" si="19"/>
        <v/>
      </c>
      <c r="AE84" s="6" t="str">
        <f t="shared" si="20"/>
        <v/>
      </c>
      <c r="AF84" s="6" t="str">
        <f t="shared" si="21"/>
        <v/>
      </c>
      <c r="AG84" s="6" t="str">
        <f t="shared" si="22"/>
        <v/>
      </c>
      <c r="AH84" s="6" t="str">
        <f t="shared" si="23"/>
        <v/>
      </c>
    </row>
    <row r="85" spans="1:34">
      <c r="A85" s="9"/>
      <c r="C85" s="4" t="str">
        <f>IFERROR(VLOOKUP(B85,'Code Lists'!$A:$B,2,FALSE),"")</f>
        <v/>
      </c>
      <c r="F85" s="4" t="str">
        <f>IFERROR(VLOOKUP(E85,'Code Lists'!$D:$E,2,FALSE),"")</f>
        <v/>
      </c>
      <c r="H85" s="4" t="str">
        <f>IFERROR(VLOOKUP(G85,'Code Lists'!$G:$H,2,FALSE),"")</f>
        <v/>
      </c>
      <c r="J85" s="10"/>
      <c r="M85" s="11"/>
      <c r="Q85" s="7" t="str">
        <f>IF(VedAarnaSKUMaster[[#This Row],[HSN/SAC Code]]=998822,5%,IF(VedAarnaSKUMaster[[#This Row],[HSN/SAC Code]]=998391,18%,IF(VedAarnaSKUMaster[[#This Row],[HSN/SAC Code]]=998723,5%,"")))</f>
        <v/>
      </c>
      <c r="R85" s="5" t="str">
        <f t="shared" si="13"/>
        <v/>
      </c>
      <c r="S85" s="5" t="str">
        <f t="shared" si="14"/>
        <v/>
      </c>
      <c r="T85" s="11"/>
      <c r="U85" s="8" t="str">
        <f>IF(OR(VedAarnaSKUMaster[[#This Row],[Selling Price]]="",VedAarnaSKUMaster[[#This Row],[Selling Price]]=0),"",CEILING(VedAarnaSKUMaster[[#This Row],[Selling Price]]/(1-20%),100)-1)</f>
        <v/>
      </c>
      <c r="V85">
        <f t="shared" si="24"/>
        <v>0</v>
      </c>
      <c r="W85" s="8"/>
      <c r="Z85" s="6" t="str">
        <f t="shared" si="15"/>
        <v/>
      </c>
      <c r="AA85" s="6" t="str">
        <f t="shared" si="16"/>
        <v/>
      </c>
      <c r="AB85" s="6" t="str">
        <f t="shared" si="17"/>
        <v/>
      </c>
      <c r="AC85" s="6" t="str">
        <f t="shared" si="18"/>
        <v/>
      </c>
      <c r="AD85" s="6" t="str">
        <f t="shared" si="19"/>
        <v/>
      </c>
      <c r="AE85" s="6" t="str">
        <f t="shared" si="20"/>
        <v/>
      </c>
      <c r="AF85" s="6" t="str">
        <f t="shared" si="21"/>
        <v/>
      </c>
      <c r="AG85" s="6" t="str">
        <f t="shared" si="22"/>
        <v/>
      </c>
      <c r="AH85" s="6" t="str">
        <f t="shared" si="23"/>
        <v/>
      </c>
    </row>
    <row r="86" spans="1:34">
      <c r="A86" s="9"/>
      <c r="C86" s="4" t="str">
        <f>IFERROR(VLOOKUP(B86,'Code Lists'!$A:$B,2,FALSE),"")</f>
        <v/>
      </c>
      <c r="F86" s="4" t="str">
        <f>IFERROR(VLOOKUP(E86,'Code Lists'!$D:$E,2,FALSE),"")</f>
        <v/>
      </c>
      <c r="H86" s="4" t="str">
        <f>IFERROR(VLOOKUP(G86,'Code Lists'!$G:$H,2,FALSE),"")</f>
        <v/>
      </c>
      <c r="J86" s="10"/>
      <c r="M86" s="11"/>
      <c r="Q86" s="7" t="str">
        <f>IF(VedAarnaSKUMaster[[#This Row],[HSN/SAC Code]]=998822,5%,IF(VedAarnaSKUMaster[[#This Row],[HSN/SAC Code]]=998391,18%,IF(VedAarnaSKUMaster[[#This Row],[HSN/SAC Code]]=998723,5%,"")))</f>
        <v/>
      </c>
      <c r="R86" s="5" t="str">
        <f t="shared" si="13"/>
        <v/>
      </c>
      <c r="S86" s="5" t="str">
        <f t="shared" si="14"/>
        <v/>
      </c>
      <c r="T86" s="11"/>
      <c r="U86" s="8" t="str">
        <f>IF(OR(VedAarnaSKUMaster[[#This Row],[Selling Price]]="",VedAarnaSKUMaster[[#This Row],[Selling Price]]=0),"",CEILING(VedAarnaSKUMaster[[#This Row],[Selling Price]]/(1-20%),100)-1)</f>
        <v/>
      </c>
      <c r="V86">
        <f t="shared" si="24"/>
        <v>0</v>
      </c>
      <c r="W86" s="8"/>
      <c r="Z86" s="6" t="str">
        <f t="shared" si="15"/>
        <v/>
      </c>
      <c r="AA86" s="6" t="str">
        <f t="shared" si="16"/>
        <v/>
      </c>
      <c r="AB86" s="6" t="str">
        <f t="shared" si="17"/>
        <v/>
      </c>
      <c r="AC86" s="6" t="str">
        <f t="shared" si="18"/>
        <v/>
      </c>
      <c r="AD86" s="6" t="str">
        <f t="shared" si="19"/>
        <v/>
      </c>
      <c r="AE86" s="6" t="str">
        <f t="shared" si="20"/>
        <v/>
      </c>
      <c r="AF86" s="6" t="str">
        <f t="shared" si="21"/>
        <v/>
      </c>
      <c r="AG86" s="6" t="str">
        <f t="shared" si="22"/>
        <v/>
      </c>
      <c r="AH86" s="6" t="str">
        <f t="shared" si="23"/>
        <v/>
      </c>
    </row>
    <row r="87" spans="1:34">
      <c r="A87" s="9"/>
      <c r="C87" s="4" t="str">
        <f>IFERROR(VLOOKUP(B87,'Code Lists'!$A:$B,2,FALSE),"")</f>
        <v/>
      </c>
      <c r="F87" s="4" t="str">
        <f>IFERROR(VLOOKUP(E87,'Code Lists'!$D:$E,2,FALSE),"")</f>
        <v/>
      </c>
      <c r="H87" s="4" t="str">
        <f>IFERROR(VLOOKUP(G87,'Code Lists'!$G:$H,2,FALSE),"")</f>
        <v/>
      </c>
      <c r="J87" s="10"/>
      <c r="M87" s="11"/>
      <c r="Q87" s="7" t="str">
        <f>IF(VedAarnaSKUMaster[[#This Row],[HSN/SAC Code]]=998822,5%,IF(VedAarnaSKUMaster[[#This Row],[HSN/SAC Code]]=998391,18%,IF(VedAarnaSKUMaster[[#This Row],[HSN/SAC Code]]=998723,5%,"")))</f>
        <v/>
      </c>
      <c r="R87" s="5" t="str">
        <f t="shared" si="13"/>
        <v/>
      </c>
      <c r="S87" s="5" t="str">
        <f t="shared" si="14"/>
        <v/>
      </c>
      <c r="T87" s="11"/>
      <c r="U87" s="8" t="str">
        <f>IF(OR(VedAarnaSKUMaster[[#This Row],[Selling Price]]="",VedAarnaSKUMaster[[#This Row],[Selling Price]]=0),"",CEILING(VedAarnaSKUMaster[[#This Row],[Selling Price]]/(1-20%),100)-1)</f>
        <v/>
      </c>
      <c r="V87">
        <f t="shared" si="24"/>
        <v>0</v>
      </c>
      <c r="W87" s="8"/>
      <c r="Z87" s="6" t="str">
        <f t="shared" si="15"/>
        <v/>
      </c>
      <c r="AA87" s="6" t="str">
        <f t="shared" si="16"/>
        <v/>
      </c>
      <c r="AB87" s="6" t="str">
        <f t="shared" si="17"/>
        <v/>
      </c>
      <c r="AC87" s="6" t="str">
        <f t="shared" si="18"/>
        <v/>
      </c>
      <c r="AD87" s="6" t="str">
        <f t="shared" si="19"/>
        <v/>
      </c>
      <c r="AE87" s="6" t="str">
        <f t="shared" si="20"/>
        <v/>
      </c>
      <c r="AF87" s="6" t="str">
        <f t="shared" si="21"/>
        <v/>
      </c>
      <c r="AG87" s="6" t="str">
        <f t="shared" si="22"/>
        <v/>
      </c>
      <c r="AH87" s="6" t="str">
        <f t="shared" si="23"/>
        <v/>
      </c>
    </row>
    <row r="88" spans="1:34">
      <c r="A88" s="9"/>
      <c r="C88" s="4" t="str">
        <f>IFERROR(VLOOKUP(B88,'Code Lists'!$A:$B,2,FALSE),"")</f>
        <v/>
      </c>
      <c r="F88" s="4" t="str">
        <f>IFERROR(VLOOKUP(E88,'Code Lists'!$D:$E,2,FALSE),"")</f>
        <v/>
      </c>
      <c r="H88" s="4" t="str">
        <f>IFERROR(VLOOKUP(G88,'Code Lists'!$G:$H,2,FALSE),"")</f>
        <v/>
      </c>
      <c r="J88" s="10"/>
      <c r="M88" s="11"/>
      <c r="Q88" s="7" t="str">
        <f>IF(VedAarnaSKUMaster[[#This Row],[HSN/SAC Code]]=998822,5%,IF(VedAarnaSKUMaster[[#This Row],[HSN/SAC Code]]=998391,18%,IF(VedAarnaSKUMaster[[#This Row],[HSN/SAC Code]]=998723,5%,"")))</f>
        <v/>
      </c>
      <c r="R88" s="5" t="str">
        <f t="shared" si="13"/>
        <v/>
      </c>
      <c r="S88" s="5" t="str">
        <f t="shared" si="14"/>
        <v/>
      </c>
      <c r="T88" s="11"/>
      <c r="U88" s="8" t="str">
        <f>IF(OR(VedAarnaSKUMaster[[#This Row],[Selling Price]]="",VedAarnaSKUMaster[[#This Row],[Selling Price]]=0),"",CEILING(VedAarnaSKUMaster[[#This Row],[Selling Price]]/(1-20%),100)-1)</f>
        <v/>
      </c>
      <c r="V88">
        <f t="shared" si="24"/>
        <v>0</v>
      </c>
      <c r="W88" s="8"/>
      <c r="Z88" s="6" t="str">
        <f t="shared" si="15"/>
        <v/>
      </c>
      <c r="AA88" s="6" t="str">
        <f t="shared" si="16"/>
        <v/>
      </c>
      <c r="AB88" s="6" t="str">
        <f t="shared" si="17"/>
        <v/>
      </c>
      <c r="AC88" s="6" t="str">
        <f t="shared" si="18"/>
        <v/>
      </c>
      <c r="AD88" s="6" t="str">
        <f t="shared" si="19"/>
        <v/>
      </c>
      <c r="AE88" s="6" t="str">
        <f t="shared" si="20"/>
        <v/>
      </c>
      <c r="AF88" s="6" t="str">
        <f t="shared" si="21"/>
        <v/>
      </c>
      <c r="AG88" s="6" t="str">
        <f t="shared" si="22"/>
        <v/>
      </c>
      <c r="AH88" s="6" t="str">
        <f t="shared" si="23"/>
        <v/>
      </c>
    </row>
    <row r="89" spans="1:34">
      <c r="A89" s="9"/>
      <c r="C89" s="4" t="str">
        <f>IFERROR(VLOOKUP(B89,'Code Lists'!$A:$B,2,FALSE),"")</f>
        <v/>
      </c>
      <c r="F89" s="4" t="str">
        <f>IFERROR(VLOOKUP(E89,'Code Lists'!$D:$E,2,FALSE),"")</f>
        <v/>
      </c>
      <c r="H89" s="4" t="str">
        <f>IFERROR(VLOOKUP(G89,'Code Lists'!$G:$H,2,FALSE),"")</f>
        <v/>
      </c>
      <c r="J89" s="10"/>
      <c r="M89" s="11"/>
      <c r="Q89" s="7" t="str">
        <f>IF(VedAarnaSKUMaster[[#This Row],[HSN/SAC Code]]=998822,5%,IF(VedAarnaSKUMaster[[#This Row],[HSN/SAC Code]]=998391,18%,IF(VedAarnaSKUMaster[[#This Row],[HSN/SAC Code]]=998723,5%,"")))</f>
        <v/>
      </c>
      <c r="R89" s="5" t="str">
        <f t="shared" si="13"/>
        <v/>
      </c>
      <c r="S89" s="5" t="str">
        <f t="shared" si="14"/>
        <v/>
      </c>
      <c r="T89" s="11"/>
      <c r="U89" s="8" t="str">
        <f>IF(OR(VedAarnaSKUMaster[[#This Row],[Selling Price]]="",VedAarnaSKUMaster[[#This Row],[Selling Price]]=0),"",CEILING(VedAarnaSKUMaster[[#This Row],[Selling Price]]/(1-20%),100)-1)</f>
        <v/>
      </c>
      <c r="V89">
        <f t="shared" si="24"/>
        <v>0</v>
      </c>
      <c r="W89" s="8"/>
      <c r="Z89" s="6" t="str">
        <f t="shared" si="15"/>
        <v/>
      </c>
      <c r="AA89" s="6" t="str">
        <f t="shared" si="16"/>
        <v/>
      </c>
      <c r="AB89" s="6" t="str">
        <f t="shared" si="17"/>
        <v/>
      </c>
      <c r="AC89" s="6" t="str">
        <f t="shared" si="18"/>
        <v/>
      </c>
      <c r="AD89" s="6" t="str">
        <f t="shared" si="19"/>
        <v/>
      </c>
      <c r="AE89" s="6" t="str">
        <f t="shared" si="20"/>
        <v/>
      </c>
      <c r="AF89" s="6" t="str">
        <f t="shared" si="21"/>
        <v/>
      </c>
      <c r="AG89" s="6" t="str">
        <f t="shared" si="22"/>
        <v/>
      </c>
      <c r="AH89" s="6" t="str">
        <f t="shared" si="23"/>
        <v/>
      </c>
    </row>
    <row r="90" spans="1:34">
      <c r="A90" s="9"/>
      <c r="C90" s="4" t="str">
        <f>IFERROR(VLOOKUP(B90,'Code Lists'!$A:$B,2,FALSE),"")</f>
        <v/>
      </c>
      <c r="F90" s="4" t="str">
        <f>IFERROR(VLOOKUP(E90,'Code Lists'!$D:$E,2,FALSE),"")</f>
        <v/>
      </c>
      <c r="H90" s="4" t="str">
        <f>IFERROR(VLOOKUP(G90,'Code Lists'!$G:$H,2,FALSE),"")</f>
        <v/>
      </c>
      <c r="J90" s="10"/>
      <c r="M90" s="11"/>
      <c r="Q90" s="7" t="str">
        <f>IF(VedAarnaSKUMaster[[#This Row],[HSN/SAC Code]]=998822,5%,IF(VedAarnaSKUMaster[[#This Row],[HSN/SAC Code]]=998391,18%,IF(VedAarnaSKUMaster[[#This Row],[HSN/SAC Code]]=998723,5%,"")))</f>
        <v/>
      </c>
      <c r="R90" s="5" t="str">
        <f t="shared" si="13"/>
        <v/>
      </c>
      <c r="S90" s="5" t="str">
        <f t="shared" si="14"/>
        <v/>
      </c>
      <c r="T90" s="11"/>
      <c r="U90" s="8" t="str">
        <f>IF(OR(VedAarnaSKUMaster[[#This Row],[Selling Price]]="",VedAarnaSKUMaster[[#This Row],[Selling Price]]=0),"",CEILING(VedAarnaSKUMaster[[#This Row],[Selling Price]]/(1-20%),100)-1)</f>
        <v/>
      </c>
      <c r="V90">
        <f t="shared" si="24"/>
        <v>0</v>
      </c>
      <c r="W90" s="8"/>
      <c r="Z90" s="6" t="str">
        <f t="shared" si="15"/>
        <v/>
      </c>
      <c r="AA90" s="6" t="str">
        <f t="shared" si="16"/>
        <v/>
      </c>
      <c r="AB90" s="6" t="str">
        <f t="shared" si="17"/>
        <v/>
      </c>
      <c r="AC90" s="6" t="str">
        <f t="shared" si="18"/>
        <v/>
      </c>
      <c r="AD90" s="6" t="str">
        <f t="shared" si="19"/>
        <v/>
      </c>
      <c r="AE90" s="6" t="str">
        <f t="shared" si="20"/>
        <v/>
      </c>
      <c r="AF90" s="6" t="str">
        <f t="shared" si="21"/>
        <v/>
      </c>
      <c r="AG90" s="6" t="str">
        <f t="shared" si="22"/>
        <v/>
      </c>
      <c r="AH90" s="6" t="str">
        <f t="shared" si="23"/>
        <v/>
      </c>
    </row>
    <row r="91" spans="1:34">
      <c r="A91" s="9"/>
      <c r="C91" s="4" t="str">
        <f>IFERROR(VLOOKUP(B91,'Code Lists'!$A:$B,2,FALSE),"")</f>
        <v/>
      </c>
      <c r="F91" s="4" t="str">
        <f>IFERROR(VLOOKUP(E91,'Code Lists'!$D:$E,2,FALSE),"")</f>
        <v/>
      </c>
      <c r="H91" s="4" t="str">
        <f>IFERROR(VLOOKUP(G91,'Code Lists'!$G:$H,2,FALSE),"")</f>
        <v/>
      </c>
      <c r="J91" s="10"/>
      <c r="M91" s="11"/>
      <c r="Q91" s="7" t="str">
        <f>IF(VedAarnaSKUMaster[[#This Row],[HSN/SAC Code]]=998822,5%,IF(VedAarnaSKUMaster[[#This Row],[HSN/SAC Code]]=998391,18%,IF(VedAarnaSKUMaster[[#This Row],[HSN/SAC Code]]=998723,5%,"")))</f>
        <v/>
      </c>
      <c r="R91" s="5" t="str">
        <f t="shared" si="13"/>
        <v/>
      </c>
      <c r="S91" s="5" t="str">
        <f t="shared" si="14"/>
        <v/>
      </c>
      <c r="T91" s="11"/>
      <c r="U91" s="8" t="str">
        <f>IF(OR(VedAarnaSKUMaster[[#This Row],[Selling Price]]="",VedAarnaSKUMaster[[#This Row],[Selling Price]]=0),"",CEILING(VedAarnaSKUMaster[[#This Row],[Selling Price]]/(1-20%),100)-1)</f>
        <v/>
      </c>
      <c r="V91">
        <f t="shared" si="24"/>
        <v>0</v>
      </c>
      <c r="W91" s="8"/>
      <c r="Z91" s="6" t="str">
        <f t="shared" si="15"/>
        <v/>
      </c>
      <c r="AA91" s="6" t="str">
        <f t="shared" si="16"/>
        <v/>
      </c>
      <c r="AB91" s="6" t="str">
        <f t="shared" si="17"/>
        <v/>
      </c>
      <c r="AC91" s="6" t="str">
        <f t="shared" si="18"/>
        <v/>
      </c>
      <c r="AD91" s="6" t="str">
        <f t="shared" si="19"/>
        <v/>
      </c>
      <c r="AE91" s="6" t="str">
        <f t="shared" si="20"/>
        <v/>
      </c>
      <c r="AF91" s="6" t="str">
        <f t="shared" si="21"/>
        <v/>
      </c>
      <c r="AG91" s="6" t="str">
        <f t="shared" si="22"/>
        <v/>
      </c>
      <c r="AH91" s="6" t="str">
        <f t="shared" si="23"/>
        <v/>
      </c>
    </row>
    <row r="92" spans="1:34">
      <c r="A92" s="9"/>
      <c r="C92" s="4" t="str">
        <f>IFERROR(VLOOKUP(B92,'Code Lists'!$A:$B,2,FALSE),"")</f>
        <v/>
      </c>
      <c r="F92" s="4" t="str">
        <f>IFERROR(VLOOKUP(E92,'Code Lists'!$D:$E,2,FALSE),"")</f>
        <v/>
      </c>
      <c r="H92" s="4" t="str">
        <f>IFERROR(VLOOKUP(G92,'Code Lists'!$G:$H,2,FALSE),"")</f>
        <v/>
      </c>
      <c r="J92" s="10"/>
      <c r="M92" s="11"/>
      <c r="Q92" s="7" t="str">
        <f>IF(VedAarnaSKUMaster[[#This Row],[HSN/SAC Code]]=998822,5%,IF(VedAarnaSKUMaster[[#This Row],[HSN/SAC Code]]=998391,18%,IF(VedAarnaSKUMaster[[#This Row],[HSN/SAC Code]]=998723,5%,"")))</f>
        <v/>
      </c>
      <c r="R92" s="5" t="str">
        <f t="shared" si="13"/>
        <v/>
      </c>
      <c r="S92" s="5" t="str">
        <f t="shared" si="14"/>
        <v/>
      </c>
      <c r="T92" s="11"/>
      <c r="U92" s="8" t="str">
        <f>IF(OR(VedAarnaSKUMaster[[#This Row],[Selling Price]]="",VedAarnaSKUMaster[[#This Row],[Selling Price]]=0),"",CEILING(VedAarnaSKUMaster[[#This Row],[Selling Price]]/(1-20%),100)-1)</f>
        <v/>
      </c>
      <c r="V92">
        <f t="shared" si="24"/>
        <v>0</v>
      </c>
      <c r="W92" s="8"/>
      <c r="Z92" s="6" t="str">
        <f t="shared" si="15"/>
        <v/>
      </c>
      <c r="AA92" s="6" t="str">
        <f t="shared" si="16"/>
        <v/>
      </c>
      <c r="AB92" s="6" t="str">
        <f t="shared" si="17"/>
        <v/>
      </c>
      <c r="AC92" s="6" t="str">
        <f t="shared" si="18"/>
        <v/>
      </c>
      <c r="AD92" s="6" t="str">
        <f t="shared" si="19"/>
        <v/>
      </c>
      <c r="AE92" s="6" t="str">
        <f t="shared" si="20"/>
        <v/>
      </c>
      <c r="AF92" s="6" t="str">
        <f t="shared" si="21"/>
        <v/>
      </c>
      <c r="AG92" s="6" t="str">
        <f t="shared" si="22"/>
        <v/>
      </c>
      <c r="AH92" s="6" t="str">
        <f t="shared" si="23"/>
        <v/>
      </c>
    </row>
    <row r="93" spans="1:34">
      <c r="A93" s="9"/>
      <c r="C93" s="4" t="str">
        <f>IFERROR(VLOOKUP(B93,'Code Lists'!$A:$B,2,FALSE),"")</f>
        <v/>
      </c>
      <c r="F93" s="4" t="str">
        <f>IFERROR(VLOOKUP(E93,'Code Lists'!$D:$E,2,FALSE),"")</f>
        <v/>
      </c>
      <c r="H93" s="4" t="str">
        <f>IFERROR(VLOOKUP(G93,'Code Lists'!$G:$H,2,FALSE),"")</f>
        <v/>
      </c>
      <c r="J93" s="10"/>
      <c r="M93" s="11"/>
      <c r="Q93" s="7" t="str">
        <f>IF(VedAarnaSKUMaster[[#This Row],[HSN/SAC Code]]=998822,5%,IF(VedAarnaSKUMaster[[#This Row],[HSN/SAC Code]]=998391,18%,IF(VedAarnaSKUMaster[[#This Row],[HSN/SAC Code]]=998723,5%,"")))</f>
        <v/>
      </c>
      <c r="R93" s="5" t="str">
        <f t="shared" si="13"/>
        <v/>
      </c>
      <c r="S93" s="5" t="str">
        <f t="shared" si="14"/>
        <v/>
      </c>
      <c r="T93" s="11"/>
      <c r="U93" s="8" t="str">
        <f>IF(OR(VedAarnaSKUMaster[[#This Row],[Selling Price]]="",VedAarnaSKUMaster[[#This Row],[Selling Price]]=0),"",CEILING(VedAarnaSKUMaster[[#This Row],[Selling Price]]/(1-20%),100)-1)</f>
        <v/>
      </c>
      <c r="V93">
        <f t="shared" si="24"/>
        <v>0</v>
      </c>
      <c r="W93" s="8"/>
      <c r="Z93" s="6" t="str">
        <f t="shared" si="15"/>
        <v/>
      </c>
      <c r="AA93" s="6" t="str">
        <f t="shared" si="16"/>
        <v/>
      </c>
      <c r="AB93" s="6" t="str">
        <f t="shared" si="17"/>
        <v/>
      </c>
      <c r="AC93" s="6" t="str">
        <f t="shared" si="18"/>
        <v/>
      </c>
      <c r="AD93" s="6" t="str">
        <f t="shared" si="19"/>
        <v/>
      </c>
      <c r="AE93" s="6" t="str">
        <f t="shared" si="20"/>
        <v/>
      </c>
      <c r="AF93" s="6" t="str">
        <f t="shared" si="21"/>
        <v/>
      </c>
      <c r="AG93" s="6" t="str">
        <f t="shared" si="22"/>
        <v/>
      </c>
      <c r="AH93" s="6" t="str">
        <f t="shared" si="23"/>
        <v/>
      </c>
    </row>
    <row r="94" spans="1:34">
      <c r="A94" s="9"/>
      <c r="C94" s="4" t="str">
        <f>IFERROR(VLOOKUP(B94,'Code Lists'!$A:$B,2,FALSE),"")</f>
        <v/>
      </c>
      <c r="F94" s="4" t="str">
        <f>IFERROR(VLOOKUP(E94,'Code Lists'!$D:$E,2,FALSE),"")</f>
        <v/>
      </c>
      <c r="H94" s="4" t="str">
        <f>IFERROR(VLOOKUP(G94,'Code Lists'!$G:$H,2,FALSE),"")</f>
        <v/>
      </c>
      <c r="J94" s="10"/>
      <c r="M94" s="11"/>
      <c r="Q94" s="7" t="str">
        <f>IF(VedAarnaSKUMaster[[#This Row],[HSN/SAC Code]]=998822,5%,IF(VedAarnaSKUMaster[[#This Row],[HSN/SAC Code]]=998391,18%,IF(VedAarnaSKUMaster[[#This Row],[HSN/SAC Code]]=998723,5%,"")))</f>
        <v/>
      </c>
      <c r="R94" s="5" t="str">
        <f t="shared" si="13"/>
        <v/>
      </c>
      <c r="S94" s="5" t="str">
        <f t="shared" si="14"/>
        <v/>
      </c>
      <c r="T94" s="11"/>
      <c r="U94" s="8" t="str">
        <f>IF(OR(VedAarnaSKUMaster[[#This Row],[Selling Price]]="",VedAarnaSKUMaster[[#This Row],[Selling Price]]=0),"",CEILING(VedAarnaSKUMaster[[#This Row],[Selling Price]]/(1-20%),100)-1)</f>
        <v/>
      </c>
      <c r="V94">
        <f t="shared" si="24"/>
        <v>0</v>
      </c>
      <c r="W94" s="8"/>
      <c r="Z94" s="6" t="str">
        <f t="shared" si="15"/>
        <v/>
      </c>
      <c r="AA94" s="6" t="str">
        <f t="shared" si="16"/>
        <v/>
      </c>
      <c r="AB94" s="6" t="str">
        <f t="shared" si="17"/>
        <v/>
      </c>
      <c r="AC94" s="6" t="str">
        <f t="shared" si="18"/>
        <v/>
      </c>
      <c r="AD94" s="6" t="str">
        <f t="shared" si="19"/>
        <v/>
      </c>
      <c r="AE94" s="6" t="str">
        <f t="shared" si="20"/>
        <v/>
      </c>
      <c r="AF94" s="6" t="str">
        <f t="shared" si="21"/>
        <v/>
      </c>
      <c r="AG94" s="6" t="str">
        <f t="shared" si="22"/>
        <v/>
      </c>
      <c r="AH94" s="6" t="str">
        <f t="shared" si="23"/>
        <v/>
      </c>
    </row>
    <row r="95" spans="1:34">
      <c r="A95" s="9"/>
      <c r="C95" s="4" t="str">
        <f>IFERROR(VLOOKUP(B95,'Code Lists'!$A:$B,2,FALSE),"")</f>
        <v/>
      </c>
      <c r="F95" s="4" t="str">
        <f>IFERROR(VLOOKUP(E95,'Code Lists'!$D:$E,2,FALSE),"")</f>
        <v/>
      </c>
      <c r="H95" s="4" t="str">
        <f>IFERROR(VLOOKUP(G95,'Code Lists'!$G:$H,2,FALSE),"")</f>
        <v/>
      </c>
      <c r="J95" s="10"/>
      <c r="M95" s="11"/>
      <c r="Q95" s="7" t="str">
        <f>IF(VedAarnaSKUMaster[[#This Row],[HSN/SAC Code]]=998822,5%,IF(VedAarnaSKUMaster[[#This Row],[HSN/SAC Code]]=998391,18%,IF(VedAarnaSKUMaster[[#This Row],[HSN/SAC Code]]=998723,5%,"")))</f>
        <v/>
      </c>
      <c r="R95" s="5" t="str">
        <f t="shared" si="13"/>
        <v/>
      </c>
      <c r="S95" s="5" t="str">
        <f t="shared" si="14"/>
        <v/>
      </c>
      <c r="T95" s="11"/>
      <c r="U95" s="8" t="str">
        <f>IF(OR(VedAarnaSKUMaster[[#This Row],[Selling Price]]="",VedAarnaSKUMaster[[#This Row],[Selling Price]]=0),"",CEILING(VedAarnaSKUMaster[[#This Row],[Selling Price]]/(1-20%),100)-1)</f>
        <v/>
      </c>
      <c r="V95">
        <f t="shared" si="24"/>
        <v>0</v>
      </c>
      <c r="W95" s="8"/>
      <c r="Z95" s="6" t="str">
        <f t="shared" si="15"/>
        <v/>
      </c>
      <c r="AA95" s="6" t="str">
        <f t="shared" si="16"/>
        <v/>
      </c>
      <c r="AB95" s="6" t="str">
        <f t="shared" si="17"/>
        <v/>
      </c>
      <c r="AC95" s="6" t="str">
        <f t="shared" si="18"/>
        <v/>
      </c>
      <c r="AD95" s="6" t="str">
        <f t="shared" si="19"/>
        <v/>
      </c>
      <c r="AE95" s="6" t="str">
        <f t="shared" si="20"/>
        <v/>
      </c>
      <c r="AF95" s="6" t="str">
        <f t="shared" si="21"/>
        <v/>
      </c>
      <c r="AG95" s="6" t="str">
        <f t="shared" si="22"/>
        <v/>
      </c>
      <c r="AH95" s="6" t="str">
        <f t="shared" si="23"/>
        <v/>
      </c>
    </row>
    <row r="96" spans="1:34">
      <c r="A96" s="9"/>
      <c r="C96" s="4" t="str">
        <f>IFERROR(VLOOKUP(B96,'Code Lists'!$A:$B,2,FALSE),"")</f>
        <v/>
      </c>
      <c r="F96" s="4" t="str">
        <f>IFERROR(VLOOKUP(E96,'Code Lists'!$D:$E,2,FALSE),"")</f>
        <v/>
      </c>
      <c r="H96" s="4" t="str">
        <f>IFERROR(VLOOKUP(G96,'Code Lists'!$G:$H,2,FALSE),"")</f>
        <v/>
      </c>
      <c r="J96" s="10"/>
      <c r="M96" s="11"/>
      <c r="Q96" s="7" t="str">
        <f>IF(VedAarnaSKUMaster[[#This Row],[HSN/SAC Code]]=998822,5%,IF(VedAarnaSKUMaster[[#This Row],[HSN/SAC Code]]=998391,18%,IF(VedAarnaSKUMaster[[#This Row],[HSN/SAC Code]]=998723,5%,"")))</f>
        <v/>
      </c>
      <c r="R96" s="5" t="str">
        <f t="shared" si="13"/>
        <v/>
      </c>
      <c r="S96" s="5" t="str">
        <f t="shared" si="14"/>
        <v/>
      </c>
      <c r="T96" s="11"/>
      <c r="U96" s="8" t="str">
        <f>IF(OR(VedAarnaSKUMaster[[#This Row],[Selling Price]]="",VedAarnaSKUMaster[[#This Row],[Selling Price]]=0),"",CEILING(VedAarnaSKUMaster[[#This Row],[Selling Price]]/(1-20%),100)-1)</f>
        <v/>
      </c>
      <c r="V96">
        <f t="shared" si="24"/>
        <v>0</v>
      </c>
      <c r="W96" s="8"/>
      <c r="Z96" s="6" t="str">
        <f t="shared" si="15"/>
        <v/>
      </c>
      <c r="AA96" s="6" t="str">
        <f t="shared" si="16"/>
        <v/>
      </c>
      <c r="AB96" s="6" t="str">
        <f t="shared" si="17"/>
        <v/>
      </c>
      <c r="AC96" s="6" t="str">
        <f t="shared" si="18"/>
        <v/>
      </c>
      <c r="AD96" s="6" t="str">
        <f t="shared" si="19"/>
        <v/>
      </c>
      <c r="AE96" s="6" t="str">
        <f t="shared" si="20"/>
        <v/>
      </c>
      <c r="AF96" s="6" t="str">
        <f t="shared" si="21"/>
        <v/>
      </c>
      <c r="AG96" s="6" t="str">
        <f t="shared" si="22"/>
        <v/>
      </c>
      <c r="AH96" s="6" t="str">
        <f t="shared" si="23"/>
        <v/>
      </c>
    </row>
    <row r="97" spans="1:34">
      <c r="A97" s="9"/>
      <c r="C97" s="4" t="str">
        <f>IFERROR(VLOOKUP(B97,'Code Lists'!$A:$B,2,FALSE),"")</f>
        <v/>
      </c>
      <c r="F97" s="4" t="str">
        <f>IFERROR(VLOOKUP(E97,'Code Lists'!$D:$E,2,FALSE),"")</f>
        <v/>
      </c>
      <c r="H97" s="4" t="str">
        <f>IFERROR(VLOOKUP(G97,'Code Lists'!$G:$H,2,FALSE),"")</f>
        <v/>
      </c>
      <c r="J97" s="10"/>
      <c r="M97" s="11"/>
      <c r="Q97" s="7" t="str">
        <f>IF(VedAarnaSKUMaster[[#This Row],[HSN/SAC Code]]=998822,5%,IF(VedAarnaSKUMaster[[#This Row],[HSN/SAC Code]]=998391,18%,IF(VedAarnaSKUMaster[[#This Row],[HSN/SAC Code]]=998723,5%,"")))</f>
        <v/>
      </c>
      <c r="R97" s="5" t="str">
        <f t="shared" si="13"/>
        <v/>
      </c>
      <c r="S97" s="5" t="str">
        <f t="shared" si="14"/>
        <v/>
      </c>
      <c r="T97" s="11"/>
      <c r="U97" s="8" t="str">
        <f>IF(OR(VedAarnaSKUMaster[[#This Row],[Selling Price]]="",VedAarnaSKUMaster[[#This Row],[Selling Price]]=0),"",CEILING(VedAarnaSKUMaster[[#This Row],[Selling Price]]/(1-20%),100)-1)</f>
        <v/>
      </c>
      <c r="V97">
        <f t="shared" si="24"/>
        <v>0</v>
      </c>
      <c r="W97" s="8"/>
      <c r="Z97" s="6" t="str">
        <f t="shared" si="15"/>
        <v/>
      </c>
      <c r="AA97" s="6" t="str">
        <f t="shared" si="16"/>
        <v/>
      </c>
      <c r="AB97" s="6" t="str">
        <f t="shared" si="17"/>
        <v/>
      </c>
      <c r="AC97" s="6" t="str">
        <f t="shared" si="18"/>
        <v/>
      </c>
      <c r="AD97" s="6" t="str">
        <f t="shared" si="19"/>
        <v/>
      </c>
      <c r="AE97" s="6" t="str">
        <f t="shared" si="20"/>
        <v/>
      </c>
      <c r="AF97" s="6" t="str">
        <f t="shared" si="21"/>
        <v/>
      </c>
      <c r="AG97" s="6" t="str">
        <f t="shared" si="22"/>
        <v/>
      </c>
      <c r="AH97" s="6" t="str">
        <f t="shared" si="23"/>
        <v/>
      </c>
    </row>
    <row r="98" spans="1:34">
      <c r="A98" s="9"/>
      <c r="C98" s="4" t="str">
        <f>IFERROR(VLOOKUP(B98,'Code Lists'!$A:$B,2,FALSE),"")</f>
        <v/>
      </c>
      <c r="F98" s="4" t="str">
        <f>IFERROR(VLOOKUP(E98,'Code Lists'!$D:$E,2,FALSE),"")</f>
        <v/>
      </c>
      <c r="H98" s="4" t="str">
        <f>IFERROR(VLOOKUP(G98,'Code Lists'!$G:$H,2,FALSE),"")</f>
        <v/>
      </c>
      <c r="J98" s="10"/>
      <c r="M98" s="11"/>
      <c r="Q98" s="7" t="str">
        <f>IF(VedAarnaSKUMaster[[#This Row],[HSN/SAC Code]]=998822,5%,IF(VedAarnaSKUMaster[[#This Row],[HSN/SAC Code]]=998391,18%,IF(VedAarnaSKUMaster[[#This Row],[HSN/SAC Code]]=998723,5%,"")))</f>
        <v/>
      </c>
      <c r="R98" s="5" t="str">
        <f t="shared" si="13"/>
        <v/>
      </c>
      <c r="S98" s="5" t="str">
        <f t="shared" si="14"/>
        <v/>
      </c>
      <c r="T98" s="11"/>
      <c r="U98" s="8" t="str">
        <f>IF(OR(VedAarnaSKUMaster[[#This Row],[Selling Price]]="",VedAarnaSKUMaster[[#This Row],[Selling Price]]=0),"",CEILING(VedAarnaSKUMaster[[#This Row],[Selling Price]]/(1-20%),100)-1)</f>
        <v/>
      </c>
      <c r="V98">
        <f t="shared" si="24"/>
        <v>0</v>
      </c>
      <c r="W98" s="8"/>
      <c r="Z98" s="6" t="str">
        <f t="shared" si="15"/>
        <v/>
      </c>
      <c r="AA98" s="6" t="str">
        <f t="shared" si="16"/>
        <v/>
      </c>
      <c r="AB98" s="6" t="str">
        <f t="shared" si="17"/>
        <v/>
      </c>
      <c r="AC98" s="6" t="str">
        <f t="shared" si="18"/>
        <v/>
      </c>
      <c r="AD98" s="6" t="str">
        <f t="shared" si="19"/>
        <v/>
      </c>
      <c r="AE98" s="6" t="str">
        <f t="shared" si="20"/>
        <v/>
      </c>
      <c r="AF98" s="6" t="str">
        <f t="shared" si="21"/>
        <v/>
      </c>
      <c r="AG98" s="6" t="str">
        <f t="shared" si="22"/>
        <v/>
      </c>
      <c r="AH98" s="6" t="str">
        <f t="shared" si="23"/>
        <v/>
      </c>
    </row>
    <row r="99" spans="1:34">
      <c r="A99" s="9"/>
      <c r="C99" s="4" t="str">
        <f>IFERROR(VLOOKUP(B99,'Code Lists'!$A:$B,2,FALSE),"")</f>
        <v/>
      </c>
      <c r="F99" s="4" t="str">
        <f>IFERROR(VLOOKUP(E99,'Code Lists'!$D:$E,2,FALSE),"")</f>
        <v/>
      </c>
      <c r="H99" s="4" t="str">
        <f>IFERROR(VLOOKUP(G99,'Code Lists'!$G:$H,2,FALSE),"")</f>
        <v/>
      </c>
      <c r="J99" s="10"/>
      <c r="M99" s="11"/>
      <c r="Q99" s="7" t="str">
        <f>IF(VedAarnaSKUMaster[[#This Row],[HSN/SAC Code]]=998822,5%,IF(VedAarnaSKUMaster[[#This Row],[HSN/SAC Code]]=998391,18%,IF(VedAarnaSKUMaster[[#This Row],[HSN/SAC Code]]=998723,5%,"")))</f>
        <v/>
      </c>
      <c r="R99" s="5" t="str">
        <f t="shared" si="13"/>
        <v/>
      </c>
      <c r="S99" s="5" t="str">
        <f t="shared" si="14"/>
        <v/>
      </c>
      <c r="T99" s="11"/>
      <c r="U99" s="8" t="str">
        <f>IF(OR(VedAarnaSKUMaster[[#This Row],[Selling Price]]="",VedAarnaSKUMaster[[#This Row],[Selling Price]]=0),"",CEILING(VedAarnaSKUMaster[[#This Row],[Selling Price]]/(1-20%),100)-1)</f>
        <v/>
      </c>
      <c r="V99">
        <f t="shared" si="24"/>
        <v>0</v>
      </c>
      <c r="W99" s="8"/>
      <c r="Z99" s="6" t="str">
        <f t="shared" si="15"/>
        <v/>
      </c>
      <c r="AA99" s="6" t="str">
        <f t="shared" si="16"/>
        <v/>
      </c>
      <c r="AB99" s="6" t="str">
        <f t="shared" si="17"/>
        <v/>
      </c>
      <c r="AC99" s="6" t="str">
        <f t="shared" si="18"/>
        <v/>
      </c>
      <c r="AD99" s="6" t="str">
        <f t="shared" si="19"/>
        <v/>
      </c>
      <c r="AE99" s="6" t="str">
        <f t="shared" si="20"/>
        <v/>
      </c>
      <c r="AF99" s="6" t="str">
        <f t="shared" si="21"/>
        <v/>
      </c>
      <c r="AG99" s="6" t="str">
        <f t="shared" si="22"/>
        <v/>
      </c>
      <c r="AH99" s="6" t="str">
        <f t="shared" si="23"/>
        <v/>
      </c>
    </row>
    <row r="100" spans="1:34">
      <c r="A100" s="9"/>
      <c r="C100" s="4" t="str">
        <f>IFERROR(VLOOKUP(B100,'Code Lists'!$A:$B,2,FALSE),"")</f>
        <v/>
      </c>
      <c r="F100" s="4" t="str">
        <f>IFERROR(VLOOKUP(E100,'Code Lists'!$D:$E,2,FALSE),"")</f>
        <v/>
      </c>
      <c r="H100" s="4" t="str">
        <f>IFERROR(VLOOKUP(G100,'Code Lists'!$G:$H,2,FALSE),"")</f>
        <v/>
      </c>
      <c r="J100" s="10"/>
      <c r="M100" s="11"/>
      <c r="Q100" s="7" t="str">
        <f>IF(VedAarnaSKUMaster[[#This Row],[HSN/SAC Code]]=998822,5%,IF(VedAarnaSKUMaster[[#This Row],[HSN/SAC Code]]=998391,18%,IF(VedAarnaSKUMaster[[#This Row],[HSN/SAC Code]]=998723,5%,"")))</f>
        <v/>
      </c>
      <c r="R100" s="5" t="str">
        <f t="shared" si="13"/>
        <v/>
      </c>
      <c r="S100" s="5" t="str">
        <f t="shared" si="14"/>
        <v/>
      </c>
      <c r="T100" s="11"/>
      <c r="U100" s="8" t="str">
        <f>IF(OR(VedAarnaSKUMaster[[#This Row],[Selling Price]]="",VedAarnaSKUMaster[[#This Row],[Selling Price]]=0),"",CEILING(VedAarnaSKUMaster[[#This Row],[Selling Price]]/(1-20%),100)-1)</f>
        <v/>
      </c>
      <c r="V100">
        <f t="shared" si="24"/>
        <v>0</v>
      </c>
      <c r="W100" s="8"/>
      <c r="Z100" s="6" t="str">
        <f t="shared" si="15"/>
        <v/>
      </c>
      <c r="AA100" s="6" t="str">
        <f t="shared" si="16"/>
        <v/>
      </c>
      <c r="AB100" s="6" t="str">
        <f t="shared" si="17"/>
        <v/>
      </c>
      <c r="AC100" s="6" t="str">
        <f t="shared" si="18"/>
        <v/>
      </c>
      <c r="AD100" s="6" t="str">
        <f t="shared" si="19"/>
        <v/>
      </c>
      <c r="AE100" s="6" t="str">
        <f t="shared" si="20"/>
        <v/>
      </c>
      <c r="AF100" s="6" t="str">
        <f t="shared" si="21"/>
        <v/>
      </c>
      <c r="AG100" s="6" t="str">
        <f t="shared" si="22"/>
        <v/>
      </c>
      <c r="AH100" s="6" t="str">
        <f t="shared" si="23"/>
        <v/>
      </c>
    </row>
    <row r="101" spans="1:34">
      <c r="A101" s="9"/>
      <c r="C101" s="4" t="str">
        <f>IFERROR(VLOOKUP(B101,'Code Lists'!$A:$B,2,FALSE),"")</f>
        <v/>
      </c>
      <c r="F101" s="4" t="str">
        <f>IFERROR(VLOOKUP(E101,'Code Lists'!$D:$E,2,FALSE),"")</f>
        <v/>
      </c>
      <c r="H101" s="4" t="str">
        <f>IFERROR(VLOOKUP(G101,'Code Lists'!$G:$H,2,FALSE),"")</f>
        <v/>
      </c>
      <c r="J101" s="10"/>
      <c r="M101" s="11"/>
      <c r="Q101" s="7" t="str">
        <f>IF(VedAarnaSKUMaster[[#This Row],[HSN/SAC Code]]=998822,5%,IF(VedAarnaSKUMaster[[#This Row],[HSN/SAC Code]]=998391,18%,IF(VedAarnaSKUMaster[[#This Row],[HSN/SAC Code]]=998723,5%,"")))</f>
        <v/>
      </c>
      <c r="R101" s="5" t="str">
        <f t="shared" si="13"/>
        <v/>
      </c>
      <c r="S101" s="5" t="str">
        <f t="shared" si="14"/>
        <v/>
      </c>
      <c r="T101" s="11"/>
      <c r="U101" s="8" t="str">
        <f>IF(OR(VedAarnaSKUMaster[[#This Row],[Selling Price]]="",VedAarnaSKUMaster[[#This Row],[Selling Price]]=0),"",CEILING(VedAarnaSKUMaster[[#This Row],[Selling Price]]/(1-20%),100)-1)</f>
        <v/>
      </c>
      <c r="V101">
        <f t="shared" si="24"/>
        <v>0</v>
      </c>
      <c r="W101" s="8"/>
      <c r="Z101" s="6" t="str">
        <f t="shared" si="15"/>
        <v/>
      </c>
      <c r="AA101" s="6" t="str">
        <f t="shared" si="16"/>
        <v/>
      </c>
      <c r="AB101" s="6" t="str">
        <f t="shared" si="17"/>
        <v/>
      </c>
      <c r="AC101" s="6" t="str">
        <f t="shared" si="18"/>
        <v/>
      </c>
      <c r="AD101" s="6" t="str">
        <f t="shared" si="19"/>
        <v/>
      </c>
      <c r="AE101" s="6" t="str">
        <f t="shared" si="20"/>
        <v/>
      </c>
      <c r="AF101" s="6" t="str">
        <f t="shared" si="21"/>
        <v/>
      </c>
      <c r="AG101" s="6" t="str">
        <f t="shared" si="22"/>
        <v/>
      </c>
      <c r="AH101" s="6" t="str">
        <f t="shared" si="23"/>
        <v/>
      </c>
    </row>
    <row r="102" spans="1:34">
      <c r="A102" s="9"/>
      <c r="C102" s="4" t="str">
        <f>IFERROR(VLOOKUP(B102,'Code Lists'!$A:$B,2,FALSE),"")</f>
        <v/>
      </c>
      <c r="F102" s="4" t="str">
        <f>IFERROR(VLOOKUP(E102,'Code Lists'!$D:$E,2,FALSE),"")</f>
        <v/>
      </c>
      <c r="H102" s="4" t="str">
        <f>IFERROR(VLOOKUP(G102,'Code Lists'!$G:$H,2,FALSE),"")</f>
        <v/>
      </c>
      <c r="J102" s="10"/>
      <c r="M102" s="11"/>
      <c r="Q102" s="7" t="str">
        <f>IF(VedAarnaSKUMaster[[#This Row],[HSN/SAC Code]]=998822,5%,IF(VedAarnaSKUMaster[[#This Row],[HSN/SAC Code]]=998391,18%,IF(VedAarnaSKUMaster[[#This Row],[HSN/SAC Code]]=998723,5%,"")))</f>
        <v/>
      </c>
      <c r="R102" s="5" t="str">
        <f t="shared" si="13"/>
        <v/>
      </c>
      <c r="S102" s="5" t="str">
        <f t="shared" si="14"/>
        <v/>
      </c>
      <c r="T102" s="11"/>
      <c r="U102" s="8" t="str">
        <f>IF(OR(VedAarnaSKUMaster[[#This Row],[Selling Price]]="",VedAarnaSKUMaster[[#This Row],[Selling Price]]=0),"",CEILING(VedAarnaSKUMaster[[#This Row],[Selling Price]]/(1-20%),100)-1)</f>
        <v/>
      </c>
      <c r="V102">
        <f t="shared" si="24"/>
        <v>0</v>
      </c>
      <c r="W102" s="8"/>
      <c r="Z102" s="6" t="str">
        <f t="shared" si="15"/>
        <v/>
      </c>
      <c r="AA102" s="6" t="str">
        <f t="shared" si="16"/>
        <v/>
      </c>
      <c r="AB102" s="6" t="str">
        <f t="shared" si="17"/>
        <v/>
      </c>
      <c r="AC102" s="6" t="str">
        <f t="shared" si="18"/>
        <v/>
      </c>
      <c r="AD102" s="6" t="str">
        <f t="shared" si="19"/>
        <v/>
      </c>
      <c r="AE102" s="6" t="str">
        <f t="shared" si="20"/>
        <v/>
      </c>
      <c r="AF102" s="6" t="str">
        <f t="shared" si="21"/>
        <v/>
      </c>
      <c r="AG102" s="6" t="str">
        <f t="shared" si="22"/>
        <v/>
      </c>
      <c r="AH102" s="6" t="str">
        <f t="shared" si="23"/>
        <v/>
      </c>
    </row>
    <row r="103" spans="1:34">
      <c r="A103" s="9"/>
      <c r="C103" s="4" t="str">
        <f>IFERROR(VLOOKUP(B103,'Code Lists'!$A:$B,2,FALSE),"")</f>
        <v/>
      </c>
      <c r="F103" s="4" t="str">
        <f>IFERROR(VLOOKUP(E103,'Code Lists'!$D:$E,2,FALSE),"")</f>
        <v/>
      </c>
      <c r="H103" s="4" t="str">
        <f>IFERROR(VLOOKUP(G103,'Code Lists'!$G:$H,2,FALSE),"")</f>
        <v/>
      </c>
      <c r="J103" s="10"/>
      <c r="M103" s="11"/>
      <c r="Q103" s="7" t="str">
        <f>IF(VedAarnaSKUMaster[[#This Row],[HSN/SAC Code]]=998822,5%,IF(VedAarnaSKUMaster[[#This Row],[HSN/SAC Code]]=998391,18%,IF(VedAarnaSKUMaster[[#This Row],[HSN/SAC Code]]=998723,5%,"")))</f>
        <v/>
      </c>
      <c r="R103" s="5" t="str">
        <f t="shared" si="13"/>
        <v/>
      </c>
      <c r="S103" s="5" t="str">
        <f t="shared" si="14"/>
        <v/>
      </c>
      <c r="T103" s="11"/>
      <c r="U103" s="8" t="str">
        <f>IF(OR(VedAarnaSKUMaster[[#This Row],[Selling Price]]="",VedAarnaSKUMaster[[#This Row],[Selling Price]]=0),"",CEILING(VedAarnaSKUMaster[[#This Row],[Selling Price]]/(1-20%),100)-1)</f>
        <v/>
      </c>
      <c r="V103">
        <f t="shared" si="24"/>
        <v>0</v>
      </c>
      <c r="W103" s="8"/>
      <c r="Z103" s="6" t="str">
        <f t="shared" si="15"/>
        <v/>
      </c>
      <c r="AA103" s="6" t="str">
        <f t="shared" si="16"/>
        <v/>
      </c>
      <c r="AB103" s="6" t="str">
        <f t="shared" si="17"/>
        <v/>
      </c>
      <c r="AC103" s="6" t="str">
        <f t="shared" si="18"/>
        <v/>
      </c>
      <c r="AD103" s="6" t="str">
        <f t="shared" si="19"/>
        <v/>
      </c>
      <c r="AE103" s="6" t="str">
        <f t="shared" si="20"/>
        <v/>
      </c>
      <c r="AF103" s="6" t="str">
        <f t="shared" si="21"/>
        <v/>
      </c>
      <c r="AG103" s="6" t="str">
        <f t="shared" si="22"/>
        <v/>
      </c>
      <c r="AH103" s="6" t="str">
        <f t="shared" si="23"/>
        <v/>
      </c>
    </row>
    <row r="104" spans="1:34">
      <c r="A104" s="9"/>
      <c r="C104" s="4" t="str">
        <f>IFERROR(VLOOKUP(B104,'Code Lists'!$A:$B,2,FALSE),"")</f>
        <v/>
      </c>
      <c r="F104" s="4" t="str">
        <f>IFERROR(VLOOKUP(E104,'Code Lists'!$D:$E,2,FALSE),"")</f>
        <v/>
      </c>
      <c r="H104" s="4" t="str">
        <f>IFERROR(VLOOKUP(G104,'Code Lists'!$G:$H,2,FALSE),"")</f>
        <v/>
      </c>
      <c r="J104" s="10"/>
      <c r="M104" s="11"/>
      <c r="Q104" s="7" t="str">
        <f>IF(VedAarnaSKUMaster[[#This Row],[HSN/SAC Code]]=998822,5%,IF(VedAarnaSKUMaster[[#This Row],[HSN/SAC Code]]=998391,18%,IF(VedAarnaSKUMaster[[#This Row],[HSN/SAC Code]]=998723,5%,"")))</f>
        <v/>
      </c>
      <c r="R104" s="5" t="str">
        <f t="shared" si="13"/>
        <v/>
      </c>
      <c r="S104" s="5" t="str">
        <f t="shared" si="14"/>
        <v/>
      </c>
      <c r="T104" s="11"/>
      <c r="U104" s="8" t="str">
        <f>IF(OR(VedAarnaSKUMaster[[#This Row],[Selling Price]]="",VedAarnaSKUMaster[[#This Row],[Selling Price]]=0),"",CEILING(VedAarnaSKUMaster[[#This Row],[Selling Price]]/(1-20%),100)-1)</f>
        <v/>
      </c>
      <c r="V104">
        <f t="shared" si="24"/>
        <v>0</v>
      </c>
      <c r="W104" s="8"/>
      <c r="Z104" s="6" t="str">
        <f t="shared" si="15"/>
        <v/>
      </c>
      <c r="AA104" s="6" t="str">
        <f t="shared" si="16"/>
        <v/>
      </c>
      <c r="AB104" s="6" t="str">
        <f t="shared" si="17"/>
        <v/>
      </c>
      <c r="AC104" s="6" t="str">
        <f t="shared" si="18"/>
        <v/>
      </c>
      <c r="AD104" s="6" t="str">
        <f t="shared" si="19"/>
        <v/>
      </c>
      <c r="AE104" s="6" t="str">
        <f t="shared" si="20"/>
        <v/>
      </c>
      <c r="AF104" s="6" t="str">
        <f t="shared" si="21"/>
        <v/>
      </c>
      <c r="AG104" s="6" t="str">
        <f t="shared" si="22"/>
        <v/>
      </c>
      <c r="AH104" s="6" t="str">
        <f t="shared" si="23"/>
        <v/>
      </c>
    </row>
    <row r="105" spans="1:34">
      <c r="A105" s="9"/>
      <c r="C105" s="4" t="str">
        <f>IFERROR(VLOOKUP(B105,'Code Lists'!$A:$B,2,FALSE),"")</f>
        <v/>
      </c>
      <c r="F105" s="4" t="str">
        <f>IFERROR(VLOOKUP(E105,'Code Lists'!$D:$E,2,FALSE),"")</f>
        <v/>
      </c>
      <c r="H105" s="4" t="str">
        <f>IFERROR(VLOOKUP(G105,'Code Lists'!$G:$H,2,FALSE),"")</f>
        <v/>
      </c>
      <c r="J105" s="10"/>
      <c r="M105" s="11"/>
      <c r="Q105" s="7" t="str">
        <f>IF(VedAarnaSKUMaster[[#This Row],[HSN/SAC Code]]=998822,5%,IF(VedAarnaSKUMaster[[#This Row],[HSN/SAC Code]]=998391,18%,IF(VedAarnaSKUMaster[[#This Row],[HSN/SAC Code]]=998723,5%,"")))</f>
        <v/>
      </c>
      <c r="R105" s="5" t="str">
        <f t="shared" si="13"/>
        <v/>
      </c>
      <c r="S105" s="5" t="str">
        <f t="shared" si="14"/>
        <v/>
      </c>
      <c r="T105" s="11"/>
      <c r="U105" s="8" t="str">
        <f>IF(OR(VedAarnaSKUMaster[[#This Row],[Selling Price]]="",VedAarnaSKUMaster[[#This Row],[Selling Price]]=0),"",CEILING(VedAarnaSKUMaster[[#This Row],[Selling Price]]/(1-20%),100)-1)</f>
        <v/>
      </c>
      <c r="V105">
        <f t="shared" si="24"/>
        <v>0</v>
      </c>
      <c r="W105" s="8"/>
      <c r="Z105" s="6" t="str">
        <f t="shared" si="15"/>
        <v/>
      </c>
      <c r="AA105" s="6" t="str">
        <f t="shared" si="16"/>
        <v/>
      </c>
      <c r="AB105" s="6" t="str">
        <f t="shared" si="17"/>
        <v/>
      </c>
      <c r="AC105" s="6" t="str">
        <f t="shared" si="18"/>
        <v/>
      </c>
      <c r="AD105" s="6" t="str">
        <f t="shared" si="19"/>
        <v/>
      </c>
      <c r="AE105" s="6" t="str">
        <f t="shared" si="20"/>
        <v/>
      </c>
      <c r="AF105" s="6" t="str">
        <f t="shared" si="21"/>
        <v/>
      </c>
      <c r="AG105" s="6" t="str">
        <f t="shared" si="22"/>
        <v/>
      </c>
      <c r="AH105" s="6" t="str">
        <f t="shared" si="23"/>
        <v/>
      </c>
    </row>
    <row r="106" spans="1:34">
      <c r="A106" s="9"/>
      <c r="C106" s="4" t="str">
        <f>IFERROR(VLOOKUP(B106,'Code Lists'!$A:$B,2,FALSE),"")</f>
        <v/>
      </c>
      <c r="F106" s="4" t="str">
        <f>IFERROR(VLOOKUP(E106,'Code Lists'!$D:$E,2,FALSE),"")</f>
        <v/>
      </c>
      <c r="H106" s="4" t="str">
        <f>IFERROR(VLOOKUP(G106,'Code Lists'!$G:$H,2,FALSE),"")</f>
        <v/>
      </c>
      <c r="J106" s="10"/>
      <c r="M106" s="11"/>
      <c r="Q106" s="7" t="str">
        <f>IF(VedAarnaSKUMaster[[#This Row],[HSN/SAC Code]]=998822,5%,IF(VedAarnaSKUMaster[[#This Row],[HSN/SAC Code]]=998391,18%,IF(VedAarnaSKUMaster[[#This Row],[HSN/SAC Code]]=998723,5%,"")))</f>
        <v/>
      </c>
      <c r="R106" s="5" t="str">
        <f t="shared" si="13"/>
        <v/>
      </c>
      <c r="S106" s="5" t="str">
        <f t="shared" si="14"/>
        <v/>
      </c>
      <c r="T106" s="11"/>
      <c r="U106" s="8" t="str">
        <f>IF(OR(VedAarnaSKUMaster[[#This Row],[Selling Price]]="",VedAarnaSKUMaster[[#This Row],[Selling Price]]=0),"",CEILING(VedAarnaSKUMaster[[#This Row],[Selling Price]]/(1-20%),100)-1)</f>
        <v/>
      </c>
      <c r="V106">
        <f t="shared" si="24"/>
        <v>0</v>
      </c>
      <c r="W106" s="8"/>
      <c r="Z106" s="6" t="str">
        <f t="shared" si="15"/>
        <v/>
      </c>
      <c r="AA106" s="6" t="str">
        <f t="shared" si="16"/>
        <v/>
      </c>
      <c r="AB106" s="6" t="str">
        <f t="shared" si="17"/>
        <v/>
      </c>
      <c r="AC106" s="6" t="str">
        <f t="shared" si="18"/>
        <v/>
      </c>
      <c r="AD106" s="6" t="str">
        <f t="shared" si="19"/>
        <v/>
      </c>
      <c r="AE106" s="6" t="str">
        <f t="shared" si="20"/>
        <v/>
      </c>
      <c r="AF106" s="6" t="str">
        <f t="shared" si="21"/>
        <v/>
      </c>
      <c r="AG106" s="6" t="str">
        <f t="shared" si="22"/>
        <v/>
      </c>
      <c r="AH106" s="6" t="str">
        <f t="shared" si="23"/>
        <v/>
      </c>
    </row>
    <row r="107" spans="1:34">
      <c r="A107" s="9"/>
      <c r="C107" s="4" t="str">
        <f>IFERROR(VLOOKUP(B107,'Code Lists'!$A:$B,2,FALSE),"")</f>
        <v/>
      </c>
      <c r="F107" s="4" t="str">
        <f>IFERROR(VLOOKUP(E107,'Code Lists'!$D:$E,2,FALSE),"")</f>
        <v/>
      </c>
      <c r="H107" s="4" t="str">
        <f>IFERROR(VLOOKUP(G107,'Code Lists'!$G:$H,2,FALSE),"")</f>
        <v/>
      </c>
      <c r="J107" s="10"/>
      <c r="M107" s="11"/>
      <c r="Q107" s="7" t="str">
        <f>IF(VedAarnaSKUMaster[[#This Row],[HSN/SAC Code]]=998822,5%,IF(VedAarnaSKUMaster[[#This Row],[HSN/SAC Code]]=998391,18%,IF(VedAarnaSKUMaster[[#This Row],[HSN/SAC Code]]=998723,5%,"")))</f>
        <v/>
      </c>
      <c r="R107" s="5" t="str">
        <f t="shared" si="13"/>
        <v/>
      </c>
      <c r="S107" s="5" t="str">
        <f t="shared" si="14"/>
        <v/>
      </c>
      <c r="T107" s="11"/>
      <c r="U107" s="8" t="str">
        <f>IF(OR(VedAarnaSKUMaster[[#This Row],[Selling Price]]="",VedAarnaSKUMaster[[#This Row],[Selling Price]]=0),"",CEILING(VedAarnaSKUMaster[[#This Row],[Selling Price]]/(1-20%),100)-1)</f>
        <v/>
      </c>
      <c r="V107">
        <f t="shared" si="24"/>
        <v>0</v>
      </c>
      <c r="W107" s="8"/>
      <c r="Z107" s="6" t="str">
        <f t="shared" si="15"/>
        <v/>
      </c>
      <c r="AA107" s="6" t="str">
        <f t="shared" si="16"/>
        <v/>
      </c>
      <c r="AB107" s="6" t="str">
        <f t="shared" si="17"/>
        <v/>
      </c>
      <c r="AC107" s="6" t="str">
        <f t="shared" si="18"/>
        <v/>
      </c>
      <c r="AD107" s="6" t="str">
        <f t="shared" si="19"/>
        <v/>
      </c>
      <c r="AE107" s="6" t="str">
        <f t="shared" si="20"/>
        <v/>
      </c>
      <c r="AF107" s="6" t="str">
        <f t="shared" si="21"/>
        <v/>
      </c>
      <c r="AG107" s="6" t="str">
        <f t="shared" si="22"/>
        <v/>
      </c>
      <c r="AH107" s="6" t="str">
        <f t="shared" si="23"/>
        <v/>
      </c>
    </row>
    <row r="108" spans="1:34">
      <c r="A108" s="9"/>
      <c r="C108" s="4" t="str">
        <f>IFERROR(VLOOKUP(B108,'Code Lists'!$A:$B,2,FALSE),"")</f>
        <v/>
      </c>
      <c r="F108" s="4" t="str">
        <f>IFERROR(VLOOKUP(E108,'Code Lists'!$D:$E,2,FALSE),"")</f>
        <v/>
      </c>
      <c r="H108" s="4" t="str">
        <f>IFERROR(VLOOKUP(G108,'Code Lists'!$G:$H,2,FALSE),"")</f>
        <v/>
      </c>
      <c r="J108" s="10"/>
      <c r="M108" s="11"/>
      <c r="Q108" s="7" t="str">
        <f>IF(VedAarnaSKUMaster[[#This Row],[HSN/SAC Code]]=998822,5%,IF(VedAarnaSKUMaster[[#This Row],[HSN/SAC Code]]=998391,18%,IF(VedAarnaSKUMaster[[#This Row],[HSN/SAC Code]]=998723,5%,"")))</f>
        <v/>
      </c>
      <c r="R108" s="5" t="str">
        <f t="shared" si="13"/>
        <v/>
      </c>
      <c r="S108" s="5" t="str">
        <f t="shared" si="14"/>
        <v/>
      </c>
      <c r="T108" s="11"/>
      <c r="U108" s="8" t="str">
        <f>IF(OR(VedAarnaSKUMaster[[#This Row],[Selling Price]]="",VedAarnaSKUMaster[[#This Row],[Selling Price]]=0),"",CEILING(VedAarnaSKUMaster[[#This Row],[Selling Price]]/(1-20%),100)-1)</f>
        <v/>
      </c>
      <c r="V108">
        <f t="shared" si="24"/>
        <v>0</v>
      </c>
      <c r="W108" s="8"/>
      <c r="Z108" s="6" t="str">
        <f t="shared" si="15"/>
        <v/>
      </c>
      <c r="AA108" s="6" t="str">
        <f t="shared" si="16"/>
        <v/>
      </c>
      <c r="AB108" s="6" t="str">
        <f t="shared" si="17"/>
        <v/>
      </c>
      <c r="AC108" s="6" t="str">
        <f t="shared" si="18"/>
        <v/>
      </c>
      <c r="AD108" s="6" t="str">
        <f t="shared" si="19"/>
        <v/>
      </c>
      <c r="AE108" s="6" t="str">
        <f t="shared" si="20"/>
        <v/>
      </c>
      <c r="AF108" s="6" t="str">
        <f t="shared" si="21"/>
        <v/>
      </c>
      <c r="AG108" s="6" t="str">
        <f t="shared" si="22"/>
        <v/>
      </c>
      <c r="AH108" s="6" t="str">
        <f t="shared" si="23"/>
        <v/>
      </c>
    </row>
    <row r="109" spans="1:34">
      <c r="A109" s="9"/>
      <c r="C109" s="4" t="str">
        <f>IFERROR(VLOOKUP(B109,'Code Lists'!$A:$B,2,FALSE),"")</f>
        <v/>
      </c>
      <c r="F109" s="4" t="str">
        <f>IFERROR(VLOOKUP(E109,'Code Lists'!$D:$E,2,FALSE),"")</f>
        <v/>
      </c>
      <c r="H109" s="4" t="str">
        <f>IFERROR(VLOOKUP(G109,'Code Lists'!$G:$H,2,FALSE),"")</f>
        <v/>
      </c>
      <c r="J109" s="10"/>
      <c r="M109" s="11"/>
      <c r="Q109" s="7" t="str">
        <f>IF(VedAarnaSKUMaster[[#This Row],[HSN/SAC Code]]=998822,5%,IF(VedAarnaSKUMaster[[#This Row],[HSN/SAC Code]]=998391,18%,IF(VedAarnaSKUMaster[[#This Row],[HSN/SAC Code]]=998723,5%,"")))</f>
        <v/>
      </c>
      <c r="R109" s="5" t="str">
        <f t="shared" si="13"/>
        <v/>
      </c>
      <c r="S109" s="5" t="str">
        <f t="shared" si="14"/>
        <v/>
      </c>
      <c r="T109" s="11"/>
      <c r="U109" s="8" t="str">
        <f>IF(OR(VedAarnaSKUMaster[[#This Row],[Selling Price]]="",VedAarnaSKUMaster[[#This Row],[Selling Price]]=0),"",CEILING(VedAarnaSKUMaster[[#This Row],[Selling Price]]/(1-20%),100)-1)</f>
        <v/>
      </c>
      <c r="V109">
        <f t="shared" si="24"/>
        <v>0</v>
      </c>
      <c r="W109" s="8"/>
      <c r="Z109" s="6" t="str">
        <f t="shared" si="15"/>
        <v/>
      </c>
      <c r="AA109" s="6" t="str">
        <f t="shared" si="16"/>
        <v/>
      </c>
      <c r="AB109" s="6" t="str">
        <f t="shared" si="17"/>
        <v/>
      </c>
      <c r="AC109" s="6" t="str">
        <f t="shared" si="18"/>
        <v/>
      </c>
      <c r="AD109" s="6" t="str">
        <f t="shared" si="19"/>
        <v/>
      </c>
      <c r="AE109" s="6" t="str">
        <f t="shared" si="20"/>
        <v/>
      </c>
      <c r="AF109" s="6" t="str">
        <f t="shared" si="21"/>
        <v/>
      </c>
      <c r="AG109" s="6" t="str">
        <f t="shared" si="22"/>
        <v/>
      </c>
      <c r="AH109" s="6" t="str">
        <f t="shared" si="23"/>
        <v/>
      </c>
    </row>
    <row r="110" spans="1:34">
      <c r="A110" s="9"/>
      <c r="C110" s="4" t="str">
        <f>IFERROR(VLOOKUP(B110,'Code Lists'!$A:$B,2,FALSE),"")</f>
        <v/>
      </c>
      <c r="F110" s="4" t="str">
        <f>IFERROR(VLOOKUP(E110,'Code Lists'!$D:$E,2,FALSE),"")</f>
        <v/>
      </c>
      <c r="H110" s="4" t="str">
        <f>IFERROR(VLOOKUP(G110,'Code Lists'!$G:$H,2,FALSE),"")</f>
        <v/>
      </c>
      <c r="J110" s="10"/>
      <c r="M110" s="11"/>
      <c r="Q110" s="7" t="str">
        <f>IF(VedAarnaSKUMaster[[#This Row],[HSN/SAC Code]]=998822,5%,IF(VedAarnaSKUMaster[[#This Row],[HSN/SAC Code]]=998391,18%,IF(VedAarnaSKUMaster[[#This Row],[HSN/SAC Code]]=998723,5%,"")))</f>
        <v/>
      </c>
      <c r="R110" s="5" t="str">
        <f t="shared" si="13"/>
        <v/>
      </c>
      <c r="S110" s="5" t="str">
        <f t="shared" si="14"/>
        <v/>
      </c>
      <c r="T110" s="11"/>
      <c r="U110" s="8" t="str">
        <f>IF(OR(VedAarnaSKUMaster[[#This Row],[Selling Price]]="",VedAarnaSKUMaster[[#This Row],[Selling Price]]=0),"",CEILING(VedAarnaSKUMaster[[#This Row],[Selling Price]]/(1-20%),100)-1)</f>
        <v/>
      </c>
      <c r="V110">
        <f t="shared" si="24"/>
        <v>0</v>
      </c>
      <c r="W110" s="8"/>
      <c r="Z110" s="6" t="str">
        <f t="shared" si="15"/>
        <v/>
      </c>
      <c r="AA110" s="6" t="str">
        <f t="shared" si="16"/>
        <v/>
      </c>
      <c r="AB110" s="6" t="str">
        <f t="shared" si="17"/>
        <v/>
      </c>
      <c r="AC110" s="6" t="str">
        <f t="shared" si="18"/>
        <v/>
      </c>
      <c r="AD110" s="6" t="str">
        <f t="shared" si="19"/>
        <v/>
      </c>
      <c r="AE110" s="6" t="str">
        <f t="shared" si="20"/>
        <v/>
      </c>
      <c r="AF110" s="6" t="str">
        <f t="shared" si="21"/>
        <v/>
      </c>
      <c r="AG110" s="6" t="str">
        <f t="shared" si="22"/>
        <v/>
      </c>
      <c r="AH110" s="6" t="str">
        <f t="shared" si="23"/>
        <v/>
      </c>
    </row>
    <row r="111" spans="1:34">
      <c r="A111" s="9"/>
      <c r="C111" s="4" t="str">
        <f>IFERROR(VLOOKUP(B111,'Code Lists'!$A:$B,2,FALSE),"")</f>
        <v/>
      </c>
      <c r="F111" s="4" t="str">
        <f>IFERROR(VLOOKUP(E111,'Code Lists'!$D:$E,2,FALSE),"")</f>
        <v/>
      </c>
      <c r="H111" s="4" t="str">
        <f>IFERROR(VLOOKUP(G111,'Code Lists'!$G:$H,2,FALSE),"")</f>
        <v/>
      </c>
      <c r="J111" s="10"/>
      <c r="M111" s="11"/>
      <c r="Q111" s="7" t="str">
        <f>IF(VedAarnaSKUMaster[[#This Row],[HSN/SAC Code]]=998822,5%,IF(VedAarnaSKUMaster[[#This Row],[HSN/SAC Code]]=998391,18%,IF(VedAarnaSKUMaster[[#This Row],[HSN/SAC Code]]=998723,5%,"")))</f>
        <v/>
      </c>
      <c r="R111" s="5" t="str">
        <f t="shared" si="13"/>
        <v/>
      </c>
      <c r="S111" s="5" t="str">
        <f t="shared" si="14"/>
        <v/>
      </c>
      <c r="T111" s="11"/>
      <c r="U111" s="8" t="str">
        <f>IF(OR(VedAarnaSKUMaster[[#This Row],[Selling Price]]="",VedAarnaSKUMaster[[#This Row],[Selling Price]]=0),"",CEILING(VedAarnaSKUMaster[[#This Row],[Selling Price]]/(1-20%),100)-1)</f>
        <v/>
      </c>
      <c r="V111">
        <f t="shared" si="24"/>
        <v>0</v>
      </c>
      <c r="W111" s="8"/>
      <c r="Z111" s="6" t="str">
        <f t="shared" si="15"/>
        <v/>
      </c>
      <c r="AA111" s="6" t="str">
        <f t="shared" si="16"/>
        <v/>
      </c>
      <c r="AB111" s="6" t="str">
        <f t="shared" si="17"/>
        <v/>
      </c>
      <c r="AC111" s="6" t="str">
        <f t="shared" si="18"/>
        <v/>
      </c>
      <c r="AD111" s="6" t="str">
        <f t="shared" si="19"/>
        <v/>
      </c>
      <c r="AE111" s="6" t="str">
        <f t="shared" si="20"/>
        <v/>
      </c>
      <c r="AF111" s="6" t="str">
        <f t="shared" si="21"/>
        <v/>
      </c>
      <c r="AG111" s="6" t="str">
        <f t="shared" si="22"/>
        <v/>
      </c>
      <c r="AH111" s="6" t="str">
        <f t="shared" si="23"/>
        <v/>
      </c>
    </row>
    <row r="112" spans="1:34">
      <c r="A112" s="9"/>
      <c r="C112" s="4" t="str">
        <f>IFERROR(VLOOKUP(B112,'Code Lists'!$A:$B,2,FALSE),"")</f>
        <v/>
      </c>
      <c r="F112" s="4" t="str">
        <f>IFERROR(VLOOKUP(E112,'Code Lists'!$D:$E,2,FALSE),"")</f>
        <v/>
      </c>
      <c r="H112" s="4" t="str">
        <f>IFERROR(VLOOKUP(G112,'Code Lists'!$G:$H,2,FALSE),"")</f>
        <v/>
      </c>
      <c r="J112" s="10"/>
      <c r="M112" s="11"/>
      <c r="Q112" s="7" t="str">
        <f>IF(VedAarnaSKUMaster[[#This Row],[HSN/SAC Code]]=998822,5%,IF(VedAarnaSKUMaster[[#This Row],[HSN/SAC Code]]=998391,18%,IF(VedAarnaSKUMaster[[#This Row],[HSN/SAC Code]]=998723,5%,"")))</f>
        <v/>
      </c>
      <c r="R112" s="5" t="str">
        <f t="shared" si="13"/>
        <v/>
      </c>
      <c r="S112" s="5" t="str">
        <f t="shared" si="14"/>
        <v/>
      </c>
      <c r="T112" s="11"/>
      <c r="U112" s="8" t="str">
        <f>IF(OR(VedAarnaSKUMaster[[#This Row],[Selling Price]]="",VedAarnaSKUMaster[[#This Row],[Selling Price]]=0),"",CEILING(VedAarnaSKUMaster[[#This Row],[Selling Price]]/(1-20%),100)-1)</f>
        <v/>
      </c>
      <c r="V112">
        <f t="shared" si="24"/>
        <v>0</v>
      </c>
      <c r="W112" s="8"/>
      <c r="Z112" s="6" t="str">
        <f t="shared" si="15"/>
        <v/>
      </c>
      <c r="AA112" s="6" t="str">
        <f t="shared" si="16"/>
        <v/>
      </c>
      <c r="AB112" s="6" t="str">
        <f t="shared" si="17"/>
        <v/>
      </c>
      <c r="AC112" s="6" t="str">
        <f t="shared" si="18"/>
        <v/>
      </c>
      <c r="AD112" s="6" t="str">
        <f t="shared" si="19"/>
        <v/>
      </c>
      <c r="AE112" s="6" t="str">
        <f t="shared" si="20"/>
        <v/>
      </c>
      <c r="AF112" s="6" t="str">
        <f t="shared" si="21"/>
        <v/>
      </c>
      <c r="AG112" s="6" t="str">
        <f t="shared" si="22"/>
        <v/>
      </c>
      <c r="AH112" s="6" t="str">
        <f t="shared" si="23"/>
        <v/>
      </c>
    </row>
    <row r="113" spans="1:34">
      <c r="A113" s="9"/>
      <c r="C113" s="4" t="str">
        <f>IFERROR(VLOOKUP(B113,'Code Lists'!$A:$B,2,FALSE),"")</f>
        <v/>
      </c>
      <c r="F113" s="4" t="str">
        <f>IFERROR(VLOOKUP(E113,'Code Lists'!$D:$E,2,FALSE),"")</f>
        <v/>
      </c>
      <c r="H113" s="4" t="str">
        <f>IFERROR(VLOOKUP(G113,'Code Lists'!$G:$H,2,FALSE),"")</f>
        <v/>
      </c>
      <c r="J113" s="10"/>
      <c r="M113" s="11"/>
      <c r="Q113" s="7" t="str">
        <f>IF(VedAarnaSKUMaster[[#This Row],[HSN/SAC Code]]=998822,5%,IF(VedAarnaSKUMaster[[#This Row],[HSN/SAC Code]]=998391,18%,IF(VedAarnaSKUMaster[[#This Row],[HSN/SAC Code]]=998723,5%,"")))</f>
        <v/>
      </c>
      <c r="R113" s="5" t="str">
        <f t="shared" si="13"/>
        <v/>
      </c>
      <c r="S113" s="5" t="str">
        <f t="shared" si="14"/>
        <v/>
      </c>
      <c r="T113" s="11"/>
      <c r="U113" s="8" t="str">
        <f>IF(OR(VedAarnaSKUMaster[[#This Row],[Selling Price]]="",VedAarnaSKUMaster[[#This Row],[Selling Price]]=0),"",CEILING(VedAarnaSKUMaster[[#This Row],[Selling Price]]/(1-20%),100)-1)</f>
        <v/>
      </c>
      <c r="V113">
        <f t="shared" si="24"/>
        <v>0</v>
      </c>
      <c r="W113" s="8"/>
      <c r="Z113" s="6" t="str">
        <f t="shared" si="15"/>
        <v/>
      </c>
      <c r="AA113" s="6" t="str">
        <f t="shared" si="16"/>
        <v/>
      </c>
      <c r="AB113" s="6" t="str">
        <f t="shared" si="17"/>
        <v/>
      </c>
      <c r="AC113" s="6" t="str">
        <f t="shared" si="18"/>
        <v/>
      </c>
      <c r="AD113" s="6" t="str">
        <f t="shared" si="19"/>
        <v/>
      </c>
      <c r="AE113" s="6" t="str">
        <f t="shared" si="20"/>
        <v/>
      </c>
      <c r="AF113" s="6" t="str">
        <f t="shared" si="21"/>
        <v/>
      </c>
      <c r="AG113" s="6" t="str">
        <f t="shared" si="22"/>
        <v/>
      </c>
      <c r="AH113" s="6" t="str">
        <f t="shared" si="23"/>
        <v/>
      </c>
    </row>
    <row r="114" spans="1:34">
      <c r="A114" s="9"/>
      <c r="C114" s="4" t="str">
        <f>IFERROR(VLOOKUP(B114,'Code Lists'!$A:$B,2,FALSE),"")</f>
        <v/>
      </c>
      <c r="F114" s="4" t="str">
        <f>IFERROR(VLOOKUP(E114,'Code Lists'!$D:$E,2,FALSE),"")</f>
        <v/>
      </c>
      <c r="H114" s="4" t="str">
        <f>IFERROR(VLOOKUP(G114,'Code Lists'!$G:$H,2,FALSE),"")</f>
        <v/>
      </c>
      <c r="J114" s="10"/>
      <c r="M114" s="11"/>
      <c r="Q114" s="7" t="str">
        <f>IF(VedAarnaSKUMaster[[#This Row],[HSN/SAC Code]]=998822,5%,IF(VedAarnaSKUMaster[[#This Row],[HSN/SAC Code]]=998391,18%,IF(VedAarnaSKUMaster[[#This Row],[HSN/SAC Code]]=998723,5%,"")))</f>
        <v/>
      </c>
      <c r="R114" s="5" t="str">
        <f t="shared" si="13"/>
        <v/>
      </c>
      <c r="S114" s="5" t="str">
        <f t="shared" si="14"/>
        <v/>
      </c>
      <c r="T114" s="11"/>
      <c r="U114" s="8" t="str">
        <f>IF(OR(VedAarnaSKUMaster[[#This Row],[Selling Price]]="",VedAarnaSKUMaster[[#This Row],[Selling Price]]=0),"",CEILING(VedAarnaSKUMaster[[#This Row],[Selling Price]]/(1-20%),100)-1)</f>
        <v/>
      </c>
      <c r="V114">
        <f t="shared" si="24"/>
        <v>0</v>
      </c>
      <c r="W114" s="8"/>
      <c r="Z114" s="6" t="str">
        <f t="shared" si="15"/>
        <v/>
      </c>
      <c r="AA114" s="6" t="str">
        <f t="shared" si="16"/>
        <v/>
      </c>
      <c r="AB114" s="6" t="str">
        <f t="shared" si="17"/>
        <v/>
      </c>
      <c r="AC114" s="6" t="str">
        <f t="shared" si="18"/>
        <v/>
      </c>
      <c r="AD114" s="6" t="str">
        <f t="shared" si="19"/>
        <v/>
      </c>
      <c r="AE114" s="6" t="str">
        <f t="shared" si="20"/>
        <v/>
      </c>
      <c r="AF114" s="6" t="str">
        <f t="shared" si="21"/>
        <v/>
      </c>
      <c r="AG114" s="6" t="str">
        <f t="shared" si="22"/>
        <v/>
      </c>
      <c r="AH114" s="6" t="str">
        <f t="shared" si="23"/>
        <v/>
      </c>
    </row>
    <row r="115" spans="1:34">
      <c r="A115" s="9"/>
      <c r="C115" s="4" t="str">
        <f>IFERROR(VLOOKUP(B115,'Code Lists'!$A:$B,2,FALSE),"")</f>
        <v/>
      </c>
      <c r="F115" s="4" t="str">
        <f>IFERROR(VLOOKUP(E115,'Code Lists'!$D:$E,2,FALSE),"")</f>
        <v/>
      </c>
      <c r="H115" s="4" t="str">
        <f>IFERROR(VLOOKUP(G115,'Code Lists'!$G:$H,2,FALSE),"")</f>
        <v/>
      </c>
      <c r="J115" s="10"/>
      <c r="M115" s="11"/>
      <c r="Q115" s="7" t="str">
        <f>IF(VedAarnaSKUMaster[[#This Row],[HSN/SAC Code]]=998822,5%,IF(VedAarnaSKUMaster[[#This Row],[HSN/SAC Code]]=998391,18%,IF(VedAarnaSKUMaster[[#This Row],[HSN/SAC Code]]=998723,5%,"")))</f>
        <v/>
      </c>
      <c r="R115" s="5" t="str">
        <f t="shared" si="13"/>
        <v/>
      </c>
      <c r="S115" s="5" t="str">
        <f t="shared" si="14"/>
        <v/>
      </c>
      <c r="T115" s="11"/>
      <c r="U115" s="8" t="str">
        <f>IF(OR(VedAarnaSKUMaster[[#This Row],[Selling Price]]="",VedAarnaSKUMaster[[#This Row],[Selling Price]]=0),"",CEILING(VedAarnaSKUMaster[[#This Row],[Selling Price]]/(1-20%),100)-1)</f>
        <v/>
      </c>
      <c r="V115">
        <f t="shared" si="24"/>
        <v>0</v>
      </c>
      <c r="W115" s="8"/>
      <c r="Z115" s="6" t="str">
        <f t="shared" si="15"/>
        <v/>
      </c>
      <c r="AA115" s="6" t="str">
        <f t="shared" si="16"/>
        <v/>
      </c>
      <c r="AB115" s="6" t="str">
        <f t="shared" si="17"/>
        <v/>
      </c>
      <c r="AC115" s="6" t="str">
        <f t="shared" si="18"/>
        <v/>
      </c>
      <c r="AD115" s="6" t="str">
        <f t="shared" si="19"/>
        <v/>
      </c>
      <c r="AE115" s="6" t="str">
        <f t="shared" si="20"/>
        <v/>
      </c>
      <c r="AF115" s="6" t="str">
        <f t="shared" si="21"/>
        <v/>
      </c>
      <c r="AG115" s="6" t="str">
        <f t="shared" si="22"/>
        <v/>
      </c>
      <c r="AH115" s="6" t="str">
        <f t="shared" si="23"/>
        <v/>
      </c>
    </row>
    <row r="116" spans="1:34">
      <c r="A116" s="9"/>
      <c r="C116" s="4" t="str">
        <f>IFERROR(VLOOKUP(B116,'Code Lists'!$A:$B,2,FALSE),"")</f>
        <v/>
      </c>
      <c r="F116" s="4" t="str">
        <f>IFERROR(VLOOKUP(E116,'Code Lists'!$D:$E,2,FALSE),"")</f>
        <v/>
      </c>
      <c r="H116" s="4" t="str">
        <f>IFERROR(VLOOKUP(G116,'Code Lists'!$G:$H,2,FALSE),"")</f>
        <v/>
      </c>
      <c r="J116" s="10"/>
      <c r="M116" s="11"/>
      <c r="Q116" s="7" t="str">
        <f>IF(VedAarnaSKUMaster[[#This Row],[HSN/SAC Code]]=998822,5%,IF(VedAarnaSKUMaster[[#This Row],[HSN/SAC Code]]=998391,18%,IF(VedAarnaSKUMaster[[#This Row],[HSN/SAC Code]]=998723,5%,"")))</f>
        <v/>
      </c>
      <c r="R116" s="5" t="str">
        <f t="shared" si="13"/>
        <v/>
      </c>
      <c r="S116" s="5" t="str">
        <f t="shared" si="14"/>
        <v/>
      </c>
      <c r="T116" s="11"/>
      <c r="U116" s="8" t="str">
        <f>IF(OR(VedAarnaSKUMaster[[#This Row],[Selling Price]]="",VedAarnaSKUMaster[[#This Row],[Selling Price]]=0),"",CEILING(VedAarnaSKUMaster[[#This Row],[Selling Price]]/(1-20%),100)-1)</f>
        <v/>
      </c>
      <c r="V116">
        <f t="shared" si="24"/>
        <v>0</v>
      </c>
      <c r="W116" s="8"/>
      <c r="Z116" s="6" t="str">
        <f t="shared" si="15"/>
        <v/>
      </c>
      <c r="AA116" s="6" t="str">
        <f t="shared" si="16"/>
        <v/>
      </c>
      <c r="AB116" s="6" t="str">
        <f t="shared" si="17"/>
        <v/>
      </c>
      <c r="AC116" s="6" t="str">
        <f t="shared" si="18"/>
        <v/>
      </c>
      <c r="AD116" s="6" t="str">
        <f t="shared" si="19"/>
        <v/>
      </c>
      <c r="AE116" s="6" t="str">
        <f t="shared" si="20"/>
        <v/>
      </c>
      <c r="AF116" s="6" t="str">
        <f t="shared" si="21"/>
        <v/>
      </c>
      <c r="AG116" s="6" t="str">
        <f t="shared" si="22"/>
        <v/>
      </c>
      <c r="AH116" s="6" t="str">
        <f t="shared" si="23"/>
        <v/>
      </c>
    </row>
    <row r="117" spans="1:34">
      <c r="A117" s="9"/>
      <c r="C117" s="4" t="str">
        <f>IFERROR(VLOOKUP(B117,'Code Lists'!$A:$B,2,FALSE),"")</f>
        <v/>
      </c>
      <c r="F117" s="4" t="str">
        <f>IFERROR(VLOOKUP(E117,'Code Lists'!$D:$E,2,FALSE),"")</f>
        <v/>
      </c>
      <c r="H117" s="4" t="str">
        <f>IFERROR(VLOOKUP(G117,'Code Lists'!$G:$H,2,FALSE),"")</f>
        <v/>
      </c>
      <c r="J117" s="10"/>
      <c r="M117" s="11"/>
      <c r="Q117" s="7" t="str">
        <f>IF(VedAarnaSKUMaster[[#This Row],[HSN/SAC Code]]=998822,5%,IF(VedAarnaSKUMaster[[#This Row],[HSN/SAC Code]]=998391,18%,IF(VedAarnaSKUMaster[[#This Row],[HSN/SAC Code]]=998723,5%,"")))</f>
        <v/>
      </c>
      <c r="R117" s="5" t="str">
        <f t="shared" si="13"/>
        <v/>
      </c>
      <c r="S117" s="5" t="str">
        <f t="shared" si="14"/>
        <v/>
      </c>
      <c r="T117" s="11"/>
      <c r="U117" s="8" t="str">
        <f>IF(OR(VedAarnaSKUMaster[[#This Row],[Selling Price]]="",VedAarnaSKUMaster[[#This Row],[Selling Price]]=0),"",CEILING(VedAarnaSKUMaster[[#This Row],[Selling Price]]/(1-20%),100)-1)</f>
        <v/>
      </c>
      <c r="V117">
        <f t="shared" si="24"/>
        <v>0</v>
      </c>
      <c r="W117" s="8"/>
      <c r="Z117" s="6" t="str">
        <f t="shared" si="15"/>
        <v/>
      </c>
      <c r="AA117" s="6" t="str">
        <f t="shared" si="16"/>
        <v/>
      </c>
      <c r="AB117" s="6" t="str">
        <f t="shared" si="17"/>
        <v/>
      </c>
      <c r="AC117" s="6" t="str">
        <f t="shared" si="18"/>
        <v/>
      </c>
      <c r="AD117" s="6" t="str">
        <f t="shared" si="19"/>
        <v/>
      </c>
      <c r="AE117" s="6" t="str">
        <f t="shared" si="20"/>
        <v/>
      </c>
      <c r="AF117" s="6" t="str">
        <f t="shared" si="21"/>
        <v/>
      </c>
      <c r="AG117" s="6" t="str">
        <f t="shared" si="22"/>
        <v/>
      </c>
      <c r="AH117" s="6" t="str">
        <f t="shared" si="23"/>
        <v/>
      </c>
    </row>
    <row r="118" spans="1:34">
      <c r="A118" s="9"/>
      <c r="C118" s="4" t="str">
        <f>IFERROR(VLOOKUP(B118,'Code Lists'!$A:$B,2,FALSE),"")</f>
        <v/>
      </c>
      <c r="F118" s="4" t="str">
        <f>IFERROR(VLOOKUP(E118,'Code Lists'!$D:$E,2,FALSE),"")</f>
        <v/>
      </c>
      <c r="H118" s="4" t="str">
        <f>IFERROR(VLOOKUP(G118,'Code Lists'!$G:$H,2,FALSE),"")</f>
        <v/>
      </c>
      <c r="J118" s="10"/>
      <c r="M118" s="11"/>
      <c r="Q118" s="7" t="str">
        <f>IF(VedAarnaSKUMaster[[#This Row],[HSN/SAC Code]]=998822,5%,IF(VedAarnaSKUMaster[[#This Row],[HSN/SAC Code]]=998391,18%,IF(VedAarnaSKUMaster[[#This Row],[HSN/SAC Code]]=998723,5%,"")))</f>
        <v/>
      </c>
      <c r="R118" s="5" t="str">
        <f t="shared" si="13"/>
        <v/>
      </c>
      <c r="S118" s="5" t="str">
        <f t="shared" si="14"/>
        <v/>
      </c>
      <c r="T118" s="11"/>
      <c r="U118" s="8" t="str">
        <f>IF(OR(VedAarnaSKUMaster[[#This Row],[Selling Price]]="",VedAarnaSKUMaster[[#This Row],[Selling Price]]=0),"",CEILING(VedAarnaSKUMaster[[#This Row],[Selling Price]]/(1-20%),100)-1)</f>
        <v/>
      </c>
      <c r="V118">
        <f t="shared" si="24"/>
        <v>0</v>
      </c>
      <c r="W118" s="8"/>
      <c r="Z118" s="6" t="str">
        <f t="shared" si="15"/>
        <v/>
      </c>
      <c r="AA118" s="6" t="str">
        <f t="shared" si="16"/>
        <v/>
      </c>
      <c r="AB118" s="6" t="str">
        <f t="shared" si="17"/>
        <v/>
      </c>
      <c r="AC118" s="6" t="str">
        <f t="shared" si="18"/>
        <v/>
      </c>
      <c r="AD118" s="6" t="str">
        <f t="shared" si="19"/>
        <v/>
      </c>
      <c r="AE118" s="6" t="str">
        <f t="shared" si="20"/>
        <v/>
      </c>
      <c r="AF118" s="6" t="str">
        <f t="shared" si="21"/>
        <v/>
      </c>
      <c r="AG118" s="6" t="str">
        <f t="shared" si="22"/>
        <v/>
      </c>
      <c r="AH118" s="6" t="str">
        <f t="shared" si="23"/>
        <v/>
      </c>
    </row>
    <row r="119" spans="1:34">
      <c r="A119" s="9"/>
      <c r="C119" s="4" t="str">
        <f>IFERROR(VLOOKUP(B119,'Code Lists'!$A:$B,2,FALSE),"")</f>
        <v/>
      </c>
      <c r="F119" s="4" t="str">
        <f>IFERROR(VLOOKUP(E119,'Code Lists'!$D:$E,2,FALSE),"")</f>
        <v/>
      </c>
      <c r="H119" s="4" t="str">
        <f>IFERROR(VLOOKUP(G119,'Code Lists'!$G:$H,2,FALSE),"")</f>
        <v/>
      </c>
      <c r="J119" s="10"/>
      <c r="M119" s="11"/>
      <c r="Q119" s="7" t="str">
        <f>IF(VedAarnaSKUMaster[[#This Row],[HSN/SAC Code]]=998822,5%,IF(VedAarnaSKUMaster[[#This Row],[HSN/SAC Code]]=998391,18%,IF(VedAarnaSKUMaster[[#This Row],[HSN/SAC Code]]=998723,5%,"")))</f>
        <v/>
      </c>
      <c r="R119" s="5" t="str">
        <f t="shared" si="13"/>
        <v/>
      </c>
      <c r="S119" s="5" t="str">
        <f t="shared" si="14"/>
        <v/>
      </c>
      <c r="T119" s="11"/>
      <c r="U119" s="8" t="str">
        <f>IF(OR(VedAarnaSKUMaster[[#This Row],[Selling Price]]="",VedAarnaSKUMaster[[#This Row],[Selling Price]]=0),"",CEILING(VedAarnaSKUMaster[[#This Row],[Selling Price]]/(1-20%),100)-1)</f>
        <v/>
      </c>
      <c r="V119">
        <f t="shared" si="24"/>
        <v>0</v>
      </c>
      <c r="W119" s="8"/>
      <c r="Z119" s="6" t="str">
        <f t="shared" si="15"/>
        <v/>
      </c>
      <c r="AA119" s="6" t="str">
        <f t="shared" si="16"/>
        <v/>
      </c>
      <c r="AB119" s="6" t="str">
        <f t="shared" si="17"/>
        <v/>
      </c>
      <c r="AC119" s="6" t="str">
        <f t="shared" si="18"/>
        <v/>
      </c>
      <c r="AD119" s="6" t="str">
        <f t="shared" si="19"/>
        <v/>
      </c>
      <c r="AE119" s="6" t="str">
        <f t="shared" si="20"/>
        <v/>
      </c>
      <c r="AF119" s="6" t="str">
        <f t="shared" si="21"/>
        <v/>
      </c>
      <c r="AG119" s="6" t="str">
        <f t="shared" si="22"/>
        <v/>
      </c>
      <c r="AH119" s="6" t="str">
        <f t="shared" si="23"/>
        <v/>
      </c>
    </row>
    <row r="120" spans="1:34">
      <c r="A120" s="9"/>
      <c r="C120" s="4" t="str">
        <f>IFERROR(VLOOKUP(B120,'Code Lists'!$A:$B,2,FALSE),"")</f>
        <v/>
      </c>
      <c r="F120" s="4" t="str">
        <f>IFERROR(VLOOKUP(E120,'Code Lists'!$D:$E,2,FALSE),"")</f>
        <v/>
      </c>
      <c r="H120" s="4" t="str">
        <f>IFERROR(VLOOKUP(G120,'Code Lists'!$G:$H,2,FALSE),"")</f>
        <v/>
      </c>
      <c r="J120" s="10"/>
      <c r="M120" s="11"/>
      <c r="Q120" s="7" t="str">
        <f>IF(VedAarnaSKUMaster[[#This Row],[HSN/SAC Code]]=998822,5%,IF(VedAarnaSKUMaster[[#This Row],[HSN/SAC Code]]=998391,18%,IF(VedAarnaSKUMaster[[#This Row],[HSN/SAC Code]]=998723,5%,"")))</f>
        <v/>
      </c>
      <c r="R120" s="5" t="str">
        <f t="shared" si="13"/>
        <v/>
      </c>
      <c r="S120" s="5" t="str">
        <f t="shared" si="14"/>
        <v/>
      </c>
      <c r="T120" s="11"/>
      <c r="U120" s="8" t="str">
        <f>IF(OR(VedAarnaSKUMaster[[#This Row],[Selling Price]]="",VedAarnaSKUMaster[[#This Row],[Selling Price]]=0),"",CEILING(VedAarnaSKUMaster[[#This Row],[Selling Price]]/(1-20%),100)-1)</f>
        <v/>
      </c>
      <c r="V120">
        <f t="shared" si="24"/>
        <v>0</v>
      </c>
      <c r="W120" s="8"/>
      <c r="Z120" s="6" t="str">
        <f t="shared" si="15"/>
        <v/>
      </c>
      <c r="AA120" s="6" t="str">
        <f t="shared" si="16"/>
        <v/>
      </c>
      <c r="AB120" s="6" t="str">
        <f t="shared" si="17"/>
        <v/>
      </c>
      <c r="AC120" s="6" t="str">
        <f t="shared" si="18"/>
        <v/>
      </c>
      <c r="AD120" s="6" t="str">
        <f t="shared" si="19"/>
        <v/>
      </c>
      <c r="AE120" s="6" t="str">
        <f t="shared" si="20"/>
        <v/>
      </c>
      <c r="AF120" s="6" t="str">
        <f t="shared" si="21"/>
        <v/>
      </c>
      <c r="AG120" s="6" t="str">
        <f t="shared" si="22"/>
        <v/>
      </c>
      <c r="AH120" s="6" t="str">
        <f t="shared" si="23"/>
        <v/>
      </c>
    </row>
    <row r="121" spans="1:34">
      <c r="A121" s="9"/>
      <c r="C121" s="4" t="str">
        <f>IFERROR(VLOOKUP(B121,'Code Lists'!$A:$B,2,FALSE),"")</f>
        <v/>
      </c>
      <c r="F121" s="4" t="str">
        <f>IFERROR(VLOOKUP(E121,'Code Lists'!$D:$E,2,FALSE),"")</f>
        <v/>
      </c>
      <c r="H121" s="4" t="str">
        <f>IFERROR(VLOOKUP(G121,'Code Lists'!$G:$H,2,FALSE),"")</f>
        <v/>
      </c>
      <c r="J121" s="10"/>
      <c r="M121" s="11"/>
      <c r="Q121" s="7" t="str">
        <f>IF(VedAarnaSKUMaster[[#This Row],[HSN/SAC Code]]=998822,5%,IF(VedAarnaSKUMaster[[#This Row],[HSN/SAC Code]]=998391,18%,IF(VedAarnaSKUMaster[[#This Row],[HSN/SAC Code]]=998723,5%,"")))</f>
        <v/>
      </c>
      <c r="R121" s="5" t="str">
        <f t="shared" si="13"/>
        <v/>
      </c>
      <c r="S121" s="5" t="str">
        <f t="shared" si="14"/>
        <v/>
      </c>
      <c r="T121" s="11"/>
      <c r="U121" s="8" t="str">
        <f>IF(OR(VedAarnaSKUMaster[[#This Row],[Selling Price]]="",VedAarnaSKUMaster[[#This Row],[Selling Price]]=0),"",CEILING(VedAarnaSKUMaster[[#This Row],[Selling Price]]/(1-20%),100)-1)</f>
        <v/>
      </c>
      <c r="V121">
        <f t="shared" si="24"/>
        <v>0</v>
      </c>
      <c r="W121" s="8"/>
      <c r="Z121" s="6" t="str">
        <f t="shared" si="15"/>
        <v/>
      </c>
      <c r="AA121" s="6" t="str">
        <f t="shared" si="16"/>
        <v/>
      </c>
      <c r="AB121" s="6" t="str">
        <f t="shared" si="17"/>
        <v/>
      </c>
      <c r="AC121" s="6" t="str">
        <f t="shared" si="18"/>
        <v/>
      </c>
      <c r="AD121" s="6" t="str">
        <f t="shared" si="19"/>
        <v/>
      </c>
      <c r="AE121" s="6" t="str">
        <f t="shared" si="20"/>
        <v/>
      </c>
      <c r="AF121" s="6" t="str">
        <f t="shared" si="21"/>
        <v/>
      </c>
      <c r="AG121" s="6" t="str">
        <f t="shared" si="22"/>
        <v/>
      </c>
      <c r="AH121" s="6" t="str">
        <f t="shared" si="23"/>
        <v/>
      </c>
    </row>
    <row r="122" spans="1:34">
      <c r="A122" s="9"/>
      <c r="C122" s="4" t="str">
        <f>IFERROR(VLOOKUP(B122,'Code Lists'!$A:$B,2,FALSE),"")</f>
        <v/>
      </c>
      <c r="F122" s="4" t="str">
        <f>IFERROR(VLOOKUP(E122,'Code Lists'!$D:$E,2,FALSE),"")</f>
        <v/>
      </c>
      <c r="H122" s="4" t="str">
        <f>IFERROR(VLOOKUP(G122,'Code Lists'!$G:$H,2,FALSE),"")</f>
        <v/>
      </c>
      <c r="J122" s="10"/>
      <c r="M122" s="11"/>
      <c r="Q122" s="7" t="str">
        <f>IF(VedAarnaSKUMaster[[#This Row],[HSN/SAC Code]]=998822,5%,IF(VedAarnaSKUMaster[[#This Row],[HSN/SAC Code]]=998391,18%,IF(VedAarnaSKUMaster[[#This Row],[HSN/SAC Code]]=998723,5%,"")))</f>
        <v/>
      </c>
      <c r="R122" s="5" t="str">
        <f t="shared" si="13"/>
        <v/>
      </c>
      <c r="S122" s="5" t="str">
        <f t="shared" si="14"/>
        <v/>
      </c>
      <c r="T122" s="11"/>
      <c r="U122" s="8" t="str">
        <f>IF(OR(VedAarnaSKUMaster[[#This Row],[Selling Price]]="",VedAarnaSKUMaster[[#This Row],[Selling Price]]=0),"",CEILING(VedAarnaSKUMaster[[#This Row],[Selling Price]]/(1-20%),100)-1)</f>
        <v/>
      </c>
      <c r="V122">
        <f t="shared" si="24"/>
        <v>0</v>
      </c>
      <c r="W122" s="8"/>
      <c r="Z122" s="6" t="str">
        <f t="shared" si="15"/>
        <v/>
      </c>
      <c r="AA122" s="6" t="str">
        <f t="shared" si="16"/>
        <v/>
      </c>
      <c r="AB122" s="6" t="str">
        <f t="shared" si="17"/>
        <v/>
      </c>
      <c r="AC122" s="6" t="str">
        <f t="shared" si="18"/>
        <v/>
      </c>
      <c r="AD122" s="6" t="str">
        <f t="shared" si="19"/>
        <v/>
      </c>
      <c r="AE122" s="6" t="str">
        <f t="shared" si="20"/>
        <v/>
      </c>
      <c r="AF122" s="6" t="str">
        <f t="shared" si="21"/>
        <v/>
      </c>
      <c r="AG122" s="6" t="str">
        <f t="shared" si="22"/>
        <v/>
      </c>
      <c r="AH122" s="6" t="str">
        <f t="shared" si="23"/>
        <v/>
      </c>
    </row>
    <row r="123" spans="1:34">
      <c r="A123" s="9"/>
      <c r="C123" s="4" t="str">
        <f>IFERROR(VLOOKUP(B123,'Code Lists'!$A:$B,2,FALSE),"")</f>
        <v/>
      </c>
      <c r="F123" s="4" t="str">
        <f>IFERROR(VLOOKUP(E123,'Code Lists'!$D:$E,2,FALSE),"")</f>
        <v/>
      </c>
      <c r="H123" s="4" t="str">
        <f>IFERROR(VLOOKUP(G123,'Code Lists'!$G:$H,2,FALSE),"")</f>
        <v/>
      </c>
      <c r="J123" s="10"/>
      <c r="M123" s="11"/>
      <c r="Q123" s="7" t="str">
        <f>IF(VedAarnaSKUMaster[[#This Row],[HSN/SAC Code]]=998822,5%,IF(VedAarnaSKUMaster[[#This Row],[HSN/SAC Code]]=998391,18%,IF(VedAarnaSKUMaster[[#This Row],[HSN/SAC Code]]=998723,5%,"")))</f>
        <v/>
      </c>
      <c r="R123" s="5" t="str">
        <f t="shared" si="13"/>
        <v/>
      </c>
      <c r="S123" s="5" t="str">
        <f t="shared" si="14"/>
        <v/>
      </c>
      <c r="T123" s="11"/>
      <c r="U123" s="8" t="str">
        <f>IF(OR(VedAarnaSKUMaster[[#This Row],[Selling Price]]="",VedAarnaSKUMaster[[#This Row],[Selling Price]]=0),"",CEILING(VedAarnaSKUMaster[[#This Row],[Selling Price]]/(1-20%),100)-1)</f>
        <v/>
      </c>
      <c r="V123">
        <f t="shared" si="24"/>
        <v>0</v>
      </c>
      <c r="W123" s="8"/>
      <c r="Z123" s="6" t="str">
        <f t="shared" si="15"/>
        <v/>
      </c>
      <c r="AA123" s="6" t="str">
        <f t="shared" si="16"/>
        <v/>
      </c>
      <c r="AB123" s="6" t="str">
        <f t="shared" si="17"/>
        <v/>
      </c>
      <c r="AC123" s="6" t="str">
        <f t="shared" si="18"/>
        <v/>
      </c>
      <c r="AD123" s="6" t="str">
        <f t="shared" si="19"/>
        <v/>
      </c>
      <c r="AE123" s="6" t="str">
        <f t="shared" si="20"/>
        <v/>
      </c>
      <c r="AF123" s="6" t="str">
        <f t="shared" si="21"/>
        <v/>
      </c>
      <c r="AG123" s="6" t="str">
        <f t="shared" si="22"/>
        <v/>
      </c>
      <c r="AH123" s="6" t="str">
        <f t="shared" si="23"/>
        <v/>
      </c>
    </row>
    <row r="124" spans="1:34">
      <c r="A124" s="9"/>
      <c r="C124" s="4" t="str">
        <f>IFERROR(VLOOKUP(B124,'Code Lists'!$A:$B,2,FALSE),"")</f>
        <v/>
      </c>
      <c r="F124" s="4" t="str">
        <f>IFERROR(VLOOKUP(E124,'Code Lists'!$D:$E,2,FALSE),"")</f>
        <v/>
      </c>
      <c r="H124" s="4" t="str">
        <f>IFERROR(VLOOKUP(G124,'Code Lists'!$G:$H,2,FALSE),"")</f>
        <v/>
      </c>
      <c r="J124" s="10"/>
      <c r="M124" s="11"/>
      <c r="Q124" s="7" t="str">
        <f>IF(VedAarnaSKUMaster[[#This Row],[HSN/SAC Code]]=998822,5%,IF(VedAarnaSKUMaster[[#This Row],[HSN/SAC Code]]=998391,18%,IF(VedAarnaSKUMaster[[#This Row],[HSN/SAC Code]]=998723,5%,"")))</f>
        <v/>
      </c>
      <c r="R124" s="5" t="str">
        <f t="shared" si="13"/>
        <v/>
      </c>
      <c r="S124" s="5" t="str">
        <f t="shared" si="14"/>
        <v/>
      </c>
      <c r="T124" s="11"/>
      <c r="U124" s="8" t="str">
        <f>IF(OR(VedAarnaSKUMaster[[#This Row],[Selling Price]]="",VedAarnaSKUMaster[[#This Row],[Selling Price]]=0),"",CEILING(VedAarnaSKUMaster[[#This Row],[Selling Price]]/(1-20%),100)-1)</f>
        <v/>
      </c>
      <c r="V124">
        <f t="shared" si="24"/>
        <v>0</v>
      </c>
      <c r="W124" s="8"/>
      <c r="Z124" s="6" t="str">
        <f t="shared" si="15"/>
        <v/>
      </c>
      <c r="AA124" s="6" t="str">
        <f t="shared" si="16"/>
        <v/>
      </c>
      <c r="AB124" s="6" t="str">
        <f t="shared" si="17"/>
        <v/>
      </c>
      <c r="AC124" s="6" t="str">
        <f t="shared" si="18"/>
        <v/>
      </c>
      <c r="AD124" s="6" t="str">
        <f t="shared" si="19"/>
        <v/>
      </c>
      <c r="AE124" s="6" t="str">
        <f t="shared" si="20"/>
        <v/>
      </c>
      <c r="AF124" s="6" t="str">
        <f t="shared" si="21"/>
        <v/>
      </c>
      <c r="AG124" s="6" t="str">
        <f t="shared" si="22"/>
        <v/>
      </c>
      <c r="AH124" s="6" t="str">
        <f t="shared" si="23"/>
        <v/>
      </c>
    </row>
    <row r="125" spans="1:34">
      <c r="A125" s="9"/>
      <c r="C125" s="4" t="str">
        <f>IFERROR(VLOOKUP(B125,'Code Lists'!$A:$B,2,FALSE),"")</f>
        <v/>
      </c>
      <c r="F125" s="4" t="str">
        <f>IFERROR(VLOOKUP(E125,'Code Lists'!$D:$E,2,FALSE),"")</f>
        <v/>
      </c>
      <c r="H125" s="4" t="str">
        <f>IFERROR(VLOOKUP(G125,'Code Lists'!$G:$H,2,FALSE),"")</f>
        <v/>
      </c>
      <c r="J125" s="10"/>
      <c r="M125" s="11"/>
      <c r="Q125" s="7" t="str">
        <f>IF(VedAarnaSKUMaster[[#This Row],[HSN/SAC Code]]=998822,5%,IF(VedAarnaSKUMaster[[#This Row],[HSN/SAC Code]]=998391,18%,IF(VedAarnaSKUMaster[[#This Row],[HSN/SAC Code]]=998723,5%,"")))</f>
        <v/>
      </c>
      <c r="R125" s="5" t="str">
        <f t="shared" si="13"/>
        <v/>
      </c>
      <c r="S125" s="5" t="str">
        <f t="shared" si="14"/>
        <v/>
      </c>
      <c r="T125" s="11"/>
      <c r="U125" s="8" t="str">
        <f>IF(OR(VedAarnaSKUMaster[[#This Row],[Selling Price]]="",VedAarnaSKUMaster[[#This Row],[Selling Price]]=0),"",CEILING(VedAarnaSKUMaster[[#This Row],[Selling Price]]/(1-20%),100)-1)</f>
        <v/>
      </c>
      <c r="V125">
        <f t="shared" si="24"/>
        <v>0</v>
      </c>
      <c r="W125" s="8"/>
      <c r="Z125" s="6" t="str">
        <f t="shared" si="15"/>
        <v/>
      </c>
      <c r="AA125" s="6" t="str">
        <f t="shared" si="16"/>
        <v/>
      </c>
      <c r="AB125" s="6" t="str">
        <f t="shared" si="17"/>
        <v/>
      </c>
      <c r="AC125" s="6" t="str">
        <f t="shared" si="18"/>
        <v/>
      </c>
      <c r="AD125" s="6" t="str">
        <f t="shared" si="19"/>
        <v/>
      </c>
      <c r="AE125" s="6" t="str">
        <f t="shared" si="20"/>
        <v/>
      </c>
      <c r="AF125" s="6" t="str">
        <f t="shared" si="21"/>
        <v/>
      </c>
      <c r="AG125" s="6" t="str">
        <f t="shared" si="22"/>
        <v/>
      </c>
      <c r="AH125" s="6" t="str">
        <f t="shared" si="23"/>
        <v/>
      </c>
    </row>
    <row r="126" spans="1:34">
      <c r="A126" s="9"/>
      <c r="C126" s="4" t="str">
        <f>IFERROR(VLOOKUP(B126,'Code Lists'!$A:$B,2,FALSE),"")</f>
        <v/>
      </c>
      <c r="F126" s="4" t="str">
        <f>IFERROR(VLOOKUP(E126,'Code Lists'!$D:$E,2,FALSE),"")</f>
        <v/>
      </c>
      <c r="H126" s="4" t="str">
        <f>IFERROR(VLOOKUP(G126,'Code Lists'!$G:$H,2,FALSE),"")</f>
        <v/>
      </c>
      <c r="J126" s="10"/>
      <c r="M126" s="11"/>
      <c r="Q126" s="7" t="str">
        <f>IF(VedAarnaSKUMaster[[#This Row],[HSN/SAC Code]]=998822,5%,IF(VedAarnaSKUMaster[[#This Row],[HSN/SAC Code]]=998391,18%,IF(VedAarnaSKUMaster[[#This Row],[HSN/SAC Code]]=998723,5%,"")))</f>
        <v/>
      </c>
      <c r="R126" s="5" t="str">
        <f t="shared" si="13"/>
        <v/>
      </c>
      <c r="S126" s="5" t="str">
        <f t="shared" si="14"/>
        <v/>
      </c>
      <c r="T126" s="11"/>
      <c r="U126" s="8" t="str">
        <f>IF(OR(VedAarnaSKUMaster[[#This Row],[Selling Price]]="",VedAarnaSKUMaster[[#This Row],[Selling Price]]=0),"",CEILING(VedAarnaSKUMaster[[#This Row],[Selling Price]]/(1-20%),100)-1)</f>
        <v/>
      </c>
      <c r="V126">
        <f t="shared" si="24"/>
        <v>0</v>
      </c>
      <c r="W126" s="8"/>
      <c r="Z126" s="6" t="str">
        <f t="shared" si="15"/>
        <v/>
      </c>
      <c r="AA126" s="6" t="str">
        <f t="shared" si="16"/>
        <v/>
      </c>
      <c r="AB126" s="6" t="str">
        <f t="shared" si="17"/>
        <v/>
      </c>
      <c r="AC126" s="6" t="str">
        <f t="shared" si="18"/>
        <v/>
      </c>
      <c r="AD126" s="6" t="str">
        <f t="shared" si="19"/>
        <v/>
      </c>
      <c r="AE126" s="6" t="str">
        <f t="shared" si="20"/>
        <v/>
      </c>
      <c r="AF126" s="6" t="str">
        <f t="shared" si="21"/>
        <v/>
      </c>
      <c r="AG126" s="6" t="str">
        <f t="shared" si="22"/>
        <v/>
      </c>
      <c r="AH126" s="6" t="str">
        <f t="shared" si="23"/>
        <v/>
      </c>
    </row>
    <row r="127" spans="1:34">
      <c r="A127" s="9"/>
      <c r="C127" s="4" t="str">
        <f>IFERROR(VLOOKUP(B127,'Code Lists'!$A:$B,2,FALSE),"")</f>
        <v/>
      </c>
      <c r="F127" s="4" t="str">
        <f>IFERROR(VLOOKUP(E127,'Code Lists'!$D:$E,2,FALSE),"")</f>
        <v/>
      </c>
      <c r="H127" s="4" t="str">
        <f>IFERROR(VLOOKUP(G127,'Code Lists'!$G:$H,2,FALSE),"")</f>
        <v/>
      </c>
      <c r="J127" s="10"/>
      <c r="M127" s="11"/>
      <c r="Q127" s="7" t="str">
        <f>IF(VedAarnaSKUMaster[[#This Row],[HSN/SAC Code]]=998822,5%,IF(VedAarnaSKUMaster[[#This Row],[HSN/SAC Code]]=998391,18%,IF(VedAarnaSKUMaster[[#This Row],[HSN/SAC Code]]=998723,5%,"")))</f>
        <v/>
      </c>
      <c r="R127" s="5" t="str">
        <f t="shared" si="13"/>
        <v/>
      </c>
      <c r="S127" s="5" t="str">
        <f t="shared" si="14"/>
        <v/>
      </c>
      <c r="T127" s="11"/>
      <c r="U127" s="8" t="str">
        <f>IF(OR(VedAarnaSKUMaster[[#This Row],[Selling Price]]="",VedAarnaSKUMaster[[#This Row],[Selling Price]]=0),"",CEILING(VedAarnaSKUMaster[[#This Row],[Selling Price]]/(1-20%),100)-1)</f>
        <v/>
      </c>
      <c r="V127">
        <f t="shared" si="24"/>
        <v>0</v>
      </c>
      <c r="W127" s="8"/>
      <c r="Z127" s="6" t="str">
        <f t="shared" si="15"/>
        <v/>
      </c>
      <c r="AA127" s="6" t="str">
        <f t="shared" si="16"/>
        <v/>
      </c>
      <c r="AB127" s="6" t="str">
        <f t="shared" si="17"/>
        <v/>
      </c>
      <c r="AC127" s="6" t="str">
        <f t="shared" si="18"/>
        <v/>
      </c>
      <c r="AD127" s="6" t="str">
        <f t="shared" si="19"/>
        <v/>
      </c>
      <c r="AE127" s="6" t="str">
        <f t="shared" si="20"/>
        <v/>
      </c>
      <c r="AF127" s="6" t="str">
        <f t="shared" si="21"/>
        <v/>
      </c>
      <c r="AG127" s="6" t="str">
        <f t="shared" si="22"/>
        <v/>
      </c>
      <c r="AH127" s="6" t="str">
        <f t="shared" si="23"/>
        <v/>
      </c>
    </row>
    <row r="128" spans="1:34">
      <c r="A128" s="9"/>
      <c r="C128" s="4" t="str">
        <f>IFERROR(VLOOKUP(B128,'Code Lists'!$A:$B,2,FALSE),"")</f>
        <v/>
      </c>
      <c r="F128" s="4" t="str">
        <f>IFERROR(VLOOKUP(E128,'Code Lists'!$D:$E,2,FALSE),"")</f>
        <v/>
      </c>
      <c r="H128" s="4" t="str">
        <f>IFERROR(VLOOKUP(G128,'Code Lists'!$G:$H,2,FALSE),"")</f>
        <v/>
      </c>
      <c r="J128" s="10"/>
      <c r="M128" s="11"/>
      <c r="Q128" s="7" t="str">
        <f>IF(VedAarnaSKUMaster[[#This Row],[HSN/SAC Code]]=998822,5%,IF(VedAarnaSKUMaster[[#This Row],[HSN/SAC Code]]=998391,18%,IF(VedAarnaSKUMaster[[#This Row],[HSN/SAC Code]]=998723,5%,"")))</f>
        <v/>
      </c>
      <c r="R128" s="5" t="str">
        <f t="shared" si="13"/>
        <v/>
      </c>
      <c r="S128" s="5" t="str">
        <f t="shared" si="14"/>
        <v/>
      </c>
      <c r="T128" s="11"/>
      <c r="U128" s="8" t="str">
        <f>IF(OR(VedAarnaSKUMaster[[#This Row],[Selling Price]]="",VedAarnaSKUMaster[[#This Row],[Selling Price]]=0),"",CEILING(VedAarnaSKUMaster[[#This Row],[Selling Price]]/(1-20%),100)-1)</f>
        <v/>
      </c>
      <c r="V128">
        <f t="shared" si="24"/>
        <v>0</v>
      </c>
      <c r="W128" s="8"/>
      <c r="Z128" s="6" t="str">
        <f t="shared" si="15"/>
        <v/>
      </c>
      <c r="AA128" s="6" t="str">
        <f t="shared" si="16"/>
        <v/>
      </c>
      <c r="AB128" s="6" t="str">
        <f t="shared" si="17"/>
        <v/>
      </c>
      <c r="AC128" s="6" t="str">
        <f t="shared" si="18"/>
        <v/>
      </c>
      <c r="AD128" s="6" t="str">
        <f t="shared" si="19"/>
        <v/>
      </c>
      <c r="AE128" s="6" t="str">
        <f t="shared" si="20"/>
        <v/>
      </c>
      <c r="AF128" s="6" t="str">
        <f t="shared" si="21"/>
        <v/>
      </c>
      <c r="AG128" s="6" t="str">
        <f t="shared" si="22"/>
        <v/>
      </c>
      <c r="AH128" s="6" t="str">
        <f t="shared" si="23"/>
        <v/>
      </c>
    </row>
    <row r="129" spans="1:34">
      <c r="A129" s="9"/>
      <c r="C129" s="4" t="str">
        <f>IFERROR(VLOOKUP(B129,'Code Lists'!$A:$B,2,FALSE),"")</f>
        <v/>
      </c>
      <c r="F129" s="4" t="str">
        <f>IFERROR(VLOOKUP(E129,'Code Lists'!$D:$E,2,FALSE),"")</f>
        <v/>
      </c>
      <c r="H129" s="4" t="str">
        <f>IFERROR(VLOOKUP(G129,'Code Lists'!$G:$H,2,FALSE),"")</f>
        <v/>
      </c>
      <c r="J129" s="10"/>
      <c r="M129" s="11"/>
      <c r="Q129" s="7" t="str">
        <f>IF(VedAarnaSKUMaster[[#This Row],[HSN/SAC Code]]=998822,5%,IF(VedAarnaSKUMaster[[#This Row],[HSN/SAC Code]]=998391,18%,IF(VedAarnaSKUMaster[[#This Row],[HSN/SAC Code]]=998723,5%,"")))</f>
        <v/>
      </c>
      <c r="R129" s="5" t="str">
        <f t="shared" ref="R129:R192" si="25">IF(OR(A129="",C129="",H129="",J129=""),"","VS-"&amp;C129&amp;IF(D129&lt;&gt;"","-"&amp;D129,"")&amp;"-"&amp;TEXT(A129,"0000")&amp;"-"&amp;H129&amp;"-"&amp;RIGHT(TEXT(J129,"0000"),2))</f>
        <v/>
      </c>
      <c r="S129" s="5" t="str">
        <f t="shared" ref="S129:S192" si="26">IF(OR(A129="",C129="",F129="",H129="",I129="",J129=""),"","VS-"&amp;C129&amp;IF(D129&lt;&gt;"","-"&amp;D129,"")&amp;"-"&amp;TEXT(A129,"0000")&amp;"-"&amp;F129&amp;"-"&amp;H129&amp;"-"&amp;I129&amp;"-"&amp;RIGHT(TEXT(J129,"0000"),2))</f>
        <v/>
      </c>
      <c r="T129" s="11"/>
      <c r="U129" s="8" t="str">
        <f>IF(OR(VedAarnaSKUMaster[[#This Row],[Selling Price]]="",VedAarnaSKUMaster[[#This Row],[Selling Price]]=0),"",CEILING(VedAarnaSKUMaster[[#This Row],[Selling Price]]/(1-20%),100)-1)</f>
        <v/>
      </c>
      <c r="V129">
        <f t="shared" si="24"/>
        <v>0</v>
      </c>
      <c r="W129" s="8"/>
      <c r="Z129" s="6" t="str">
        <f t="shared" si="15"/>
        <v/>
      </c>
      <c r="AA129" s="6" t="str">
        <f t="shared" si="16"/>
        <v/>
      </c>
      <c r="AB129" s="6" t="str">
        <f t="shared" si="17"/>
        <v/>
      </c>
      <c r="AC129" s="6" t="str">
        <f t="shared" si="18"/>
        <v/>
      </c>
      <c r="AD129" s="6" t="str">
        <f t="shared" si="19"/>
        <v/>
      </c>
      <c r="AE129" s="6" t="str">
        <f t="shared" si="20"/>
        <v/>
      </c>
      <c r="AF129" s="6" t="str">
        <f t="shared" si="21"/>
        <v/>
      </c>
      <c r="AG129" s="6" t="str">
        <f t="shared" si="22"/>
        <v/>
      </c>
      <c r="AH129" s="6" t="str">
        <f t="shared" si="23"/>
        <v/>
      </c>
    </row>
    <row r="130" spans="1:34">
      <c r="A130" s="9"/>
      <c r="C130" s="4" t="str">
        <f>IFERROR(VLOOKUP(B130,'Code Lists'!$A:$B,2,FALSE),"")</f>
        <v/>
      </c>
      <c r="F130" s="4" t="str">
        <f>IFERROR(VLOOKUP(E130,'Code Lists'!$D:$E,2,FALSE),"")</f>
        <v/>
      </c>
      <c r="H130" s="4" t="str">
        <f>IFERROR(VLOOKUP(G130,'Code Lists'!$G:$H,2,FALSE),"")</f>
        <v/>
      </c>
      <c r="J130" s="10"/>
      <c r="M130" s="11"/>
      <c r="Q130" s="7" t="str">
        <f>IF(VedAarnaSKUMaster[[#This Row],[HSN/SAC Code]]=998822,5%,IF(VedAarnaSKUMaster[[#This Row],[HSN/SAC Code]]=998391,18%,IF(VedAarnaSKUMaster[[#This Row],[HSN/SAC Code]]=998723,5%,"")))</f>
        <v/>
      </c>
      <c r="R130" s="5" t="str">
        <f t="shared" si="25"/>
        <v/>
      </c>
      <c r="S130" s="5" t="str">
        <f t="shared" si="26"/>
        <v/>
      </c>
      <c r="T130" s="11"/>
      <c r="U130" s="8" t="str">
        <f>IF(OR(VedAarnaSKUMaster[[#This Row],[Selling Price]]="",VedAarnaSKUMaster[[#This Row],[Selling Price]]=0),"",CEILING(VedAarnaSKUMaster[[#This Row],[Selling Price]]/(1-20%),100)-1)</f>
        <v/>
      </c>
      <c r="V130">
        <f t="shared" si="24"/>
        <v>0</v>
      </c>
      <c r="W130" s="8"/>
      <c r="Z130" s="6" t="str">
        <f t="shared" ref="Z130:Z193" si="27">IF($R130="","",$R130&amp;"-01-FR.png")</f>
        <v/>
      </c>
      <c r="AA130" s="6" t="str">
        <f t="shared" ref="AA130:AA193" si="28">IF($R130="","",$R130&amp;"-02-SD.png")</f>
        <v/>
      </c>
      <c r="AB130" s="6" t="str">
        <f t="shared" ref="AB130:AB193" si="29">IF($R130="","",$R130&amp;"-03-BK.png")</f>
        <v/>
      </c>
      <c r="AC130" s="6" t="str">
        <f t="shared" ref="AC130:AC193" si="30">IF($R130="","",$R130&amp;"-04-CD.png")</f>
        <v/>
      </c>
      <c r="AD130" s="6" t="str">
        <f t="shared" ref="AD130:AD193" si="31">IF($R130="","",$R130&amp;"-05-WK.png")</f>
        <v/>
      </c>
      <c r="AE130" s="6" t="str">
        <f t="shared" ref="AE130:AE193" si="32">IF($R130="","",$R130&amp;"-06-ST.png")</f>
        <v/>
      </c>
      <c r="AF130" s="6" t="str">
        <f t="shared" ref="AF130:AF193" si="33">IF($R130="","",$R130&amp;"-FB.png")</f>
        <v/>
      </c>
      <c r="AG130" s="6" t="str">
        <f t="shared" ref="AG130:AG193" si="34">IF($R130="","",$R130&amp;"-DT.png")</f>
        <v/>
      </c>
      <c r="AH130" s="6" t="str">
        <f t="shared" ref="AH130:AH193" si="35">IF($R130="","",$R130&amp;"-REF-01.png")</f>
        <v/>
      </c>
    </row>
    <row r="131" spans="1:34">
      <c r="A131" s="9"/>
      <c r="C131" s="4" t="str">
        <f>IFERROR(VLOOKUP(B131,'Code Lists'!$A:$B,2,FALSE),"")</f>
        <v/>
      </c>
      <c r="F131" s="4" t="str">
        <f>IFERROR(VLOOKUP(E131,'Code Lists'!$D:$E,2,FALSE),"")</f>
        <v/>
      </c>
      <c r="H131" s="4" t="str">
        <f>IFERROR(VLOOKUP(G131,'Code Lists'!$G:$H,2,FALSE),"")</f>
        <v/>
      </c>
      <c r="J131" s="10"/>
      <c r="M131" s="11"/>
      <c r="Q131" s="7" t="str">
        <f>IF(VedAarnaSKUMaster[[#This Row],[HSN/SAC Code]]=998822,5%,IF(VedAarnaSKUMaster[[#This Row],[HSN/SAC Code]]=998391,18%,IF(VedAarnaSKUMaster[[#This Row],[HSN/SAC Code]]=998723,5%,"")))</f>
        <v/>
      </c>
      <c r="R131" s="5" t="str">
        <f t="shared" si="25"/>
        <v/>
      </c>
      <c r="S131" s="5" t="str">
        <f t="shared" si="26"/>
        <v/>
      </c>
      <c r="T131" s="11"/>
      <c r="U131" s="8" t="str">
        <f>IF(OR(VedAarnaSKUMaster[[#This Row],[Selling Price]]="",VedAarnaSKUMaster[[#This Row],[Selling Price]]=0),"",CEILING(VedAarnaSKUMaster[[#This Row],[Selling Price]]/(1-20%),100)-1)</f>
        <v/>
      </c>
      <c r="V131">
        <f t="shared" ref="V131:V194" si="36">ROUND(W131/(1-50%),-2)</f>
        <v>0</v>
      </c>
      <c r="W131" s="8"/>
      <c r="Z131" s="6" t="str">
        <f t="shared" si="27"/>
        <v/>
      </c>
      <c r="AA131" s="6" t="str">
        <f t="shared" si="28"/>
        <v/>
      </c>
      <c r="AB131" s="6" t="str">
        <f t="shared" si="29"/>
        <v/>
      </c>
      <c r="AC131" s="6" t="str">
        <f t="shared" si="30"/>
        <v/>
      </c>
      <c r="AD131" s="6" t="str">
        <f t="shared" si="31"/>
        <v/>
      </c>
      <c r="AE131" s="6" t="str">
        <f t="shared" si="32"/>
        <v/>
      </c>
      <c r="AF131" s="6" t="str">
        <f t="shared" si="33"/>
        <v/>
      </c>
      <c r="AG131" s="6" t="str">
        <f t="shared" si="34"/>
        <v/>
      </c>
      <c r="AH131" s="6" t="str">
        <f t="shared" si="35"/>
        <v/>
      </c>
    </row>
    <row r="132" spans="1:34">
      <c r="A132" s="9"/>
      <c r="C132" s="4" t="str">
        <f>IFERROR(VLOOKUP(B132,'Code Lists'!$A:$B,2,FALSE),"")</f>
        <v/>
      </c>
      <c r="F132" s="4" t="str">
        <f>IFERROR(VLOOKUP(E132,'Code Lists'!$D:$E,2,FALSE),"")</f>
        <v/>
      </c>
      <c r="H132" s="4" t="str">
        <f>IFERROR(VLOOKUP(G132,'Code Lists'!$G:$H,2,FALSE),"")</f>
        <v/>
      </c>
      <c r="J132" s="10"/>
      <c r="M132" s="11"/>
      <c r="Q132" s="7" t="str">
        <f>IF(VedAarnaSKUMaster[[#This Row],[HSN/SAC Code]]=998822,5%,IF(VedAarnaSKUMaster[[#This Row],[HSN/SAC Code]]=998391,18%,IF(VedAarnaSKUMaster[[#This Row],[HSN/SAC Code]]=998723,5%,"")))</f>
        <v/>
      </c>
      <c r="R132" s="5" t="str">
        <f t="shared" si="25"/>
        <v/>
      </c>
      <c r="S132" s="5" t="str">
        <f t="shared" si="26"/>
        <v/>
      </c>
      <c r="T132" s="11"/>
      <c r="U132" s="8" t="str">
        <f>IF(OR(VedAarnaSKUMaster[[#This Row],[Selling Price]]="",VedAarnaSKUMaster[[#This Row],[Selling Price]]=0),"",CEILING(VedAarnaSKUMaster[[#This Row],[Selling Price]]/(1-20%),100)-1)</f>
        <v/>
      </c>
      <c r="V132">
        <f t="shared" si="36"/>
        <v>0</v>
      </c>
      <c r="W132" s="8"/>
      <c r="Z132" s="6" t="str">
        <f t="shared" si="27"/>
        <v/>
      </c>
      <c r="AA132" s="6" t="str">
        <f t="shared" si="28"/>
        <v/>
      </c>
      <c r="AB132" s="6" t="str">
        <f t="shared" si="29"/>
        <v/>
      </c>
      <c r="AC132" s="6" t="str">
        <f t="shared" si="30"/>
        <v/>
      </c>
      <c r="AD132" s="6" t="str">
        <f t="shared" si="31"/>
        <v/>
      </c>
      <c r="AE132" s="6" t="str">
        <f t="shared" si="32"/>
        <v/>
      </c>
      <c r="AF132" s="6" t="str">
        <f t="shared" si="33"/>
        <v/>
      </c>
      <c r="AG132" s="6" t="str">
        <f t="shared" si="34"/>
        <v/>
      </c>
      <c r="AH132" s="6" t="str">
        <f t="shared" si="35"/>
        <v/>
      </c>
    </row>
    <row r="133" spans="1:34">
      <c r="A133" s="9"/>
      <c r="C133" s="4" t="str">
        <f>IFERROR(VLOOKUP(B133,'Code Lists'!$A:$B,2,FALSE),"")</f>
        <v/>
      </c>
      <c r="F133" s="4" t="str">
        <f>IFERROR(VLOOKUP(E133,'Code Lists'!$D:$E,2,FALSE),"")</f>
        <v/>
      </c>
      <c r="H133" s="4" t="str">
        <f>IFERROR(VLOOKUP(G133,'Code Lists'!$G:$H,2,FALSE),"")</f>
        <v/>
      </c>
      <c r="J133" s="10"/>
      <c r="M133" s="11"/>
      <c r="Q133" s="7" t="str">
        <f>IF(VedAarnaSKUMaster[[#This Row],[HSN/SAC Code]]=998822,5%,IF(VedAarnaSKUMaster[[#This Row],[HSN/SAC Code]]=998391,18%,IF(VedAarnaSKUMaster[[#This Row],[HSN/SAC Code]]=998723,5%,"")))</f>
        <v/>
      </c>
      <c r="R133" s="5" t="str">
        <f t="shared" si="25"/>
        <v/>
      </c>
      <c r="S133" s="5" t="str">
        <f t="shared" si="26"/>
        <v/>
      </c>
      <c r="T133" s="11"/>
      <c r="U133" s="8" t="str">
        <f>IF(OR(VedAarnaSKUMaster[[#This Row],[Selling Price]]="",VedAarnaSKUMaster[[#This Row],[Selling Price]]=0),"",CEILING(VedAarnaSKUMaster[[#This Row],[Selling Price]]/(1-20%),100)-1)</f>
        <v/>
      </c>
      <c r="V133">
        <f t="shared" si="36"/>
        <v>0</v>
      </c>
      <c r="W133" s="8"/>
      <c r="Z133" s="6" t="str">
        <f t="shared" si="27"/>
        <v/>
      </c>
      <c r="AA133" s="6" t="str">
        <f t="shared" si="28"/>
        <v/>
      </c>
      <c r="AB133" s="6" t="str">
        <f t="shared" si="29"/>
        <v/>
      </c>
      <c r="AC133" s="6" t="str">
        <f t="shared" si="30"/>
        <v/>
      </c>
      <c r="AD133" s="6" t="str">
        <f t="shared" si="31"/>
        <v/>
      </c>
      <c r="AE133" s="6" t="str">
        <f t="shared" si="32"/>
        <v/>
      </c>
      <c r="AF133" s="6" t="str">
        <f t="shared" si="33"/>
        <v/>
      </c>
      <c r="AG133" s="6" t="str">
        <f t="shared" si="34"/>
        <v/>
      </c>
      <c r="AH133" s="6" t="str">
        <f t="shared" si="35"/>
        <v/>
      </c>
    </row>
    <row r="134" spans="1:34">
      <c r="A134" s="9"/>
      <c r="C134" s="4" t="str">
        <f>IFERROR(VLOOKUP(B134,'Code Lists'!$A:$B,2,FALSE),"")</f>
        <v/>
      </c>
      <c r="F134" s="4" t="str">
        <f>IFERROR(VLOOKUP(E134,'Code Lists'!$D:$E,2,FALSE),"")</f>
        <v/>
      </c>
      <c r="H134" s="4" t="str">
        <f>IFERROR(VLOOKUP(G134,'Code Lists'!$G:$H,2,FALSE),"")</f>
        <v/>
      </c>
      <c r="J134" s="10"/>
      <c r="M134" s="11"/>
      <c r="Q134" s="7" t="str">
        <f>IF(VedAarnaSKUMaster[[#This Row],[HSN/SAC Code]]=998822,5%,IF(VedAarnaSKUMaster[[#This Row],[HSN/SAC Code]]=998391,18%,IF(VedAarnaSKUMaster[[#This Row],[HSN/SAC Code]]=998723,5%,"")))</f>
        <v/>
      </c>
      <c r="R134" s="5" t="str">
        <f t="shared" si="25"/>
        <v/>
      </c>
      <c r="S134" s="5" t="str">
        <f t="shared" si="26"/>
        <v/>
      </c>
      <c r="T134" s="11"/>
      <c r="U134" s="8" t="str">
        <f>IF(OR(VedAarnaSKUMaster[[#This Row],[Selling Price]]="",VedAarnaSKUMaster[[#This Row],[Selling Price]]=0),"",CEILING(VedAarnaSKUMaster[[#This Row],[Selling Price]]/(1-20%),100)-1)</f>
        <v/>
      </c>
      <c r="V134">
        <f t="shared" si="36"/>
        <v>0</v>
      </c>
      <c r="W134" s="8"/>
      <c r="Z134" s="6" t="str">
        <f t="shared" si="27"/>
        <v/>
      </c>
      <c r="AA134" s="6" t="str">
        <f t="shared" si="28"/>
        <v/>
      </c>
      <c r="AB134" s="6" t="str">
        <f t="shared" si="29"/>
        <v/>
      </c>
      <c r="AC134" s="6" t="str">
        <f t="shared" si="30"/>
        <v/>
      </c>
      <c r="AD134" s="6" t="str">
        <f t="shared" si="31"/>
        <v/>
      </c>
      <c r="AE134" s="6" t="str">
        <f t="shared" si="32"/>
        <v/>
      </c>
      <c r="AF134" s="6" t="str">
        <f t="shared" si="33"/>
        <v/>
      </c>
      <c r="AG134" s="6" t="str">
        <f t="shared" si="34"/>
        <v/>
      </c>
      <c r="AH134" s="6" t="str">
        <f t="shared" si="35"/>
        <v/>
      </c>
    </row>
    <row r="135" spans="1:34">
      <c r="A135" s="9"/>
      <c r="C135" s="4" t="str">
        <f>IFERROR(VLOOKUP(B135,'Code Lists'!$A:$B,2,FALSE),"")</f>
        <v/>
      </c>
      <c r="F135" s="4" t="str">
        <f>IFERROR(VLOOKUP(E135,'Code Lists'!$D:$E,2,FALSE),"")</f>
        <v/>
      </c>
      <c r="H135" s="4" t="str">
        <f>IFERROR(VLOOKUP(G135,'Code Lists'!$G:$H,2,FALSE),"")</f>
        <v/>
      </c>
      <c r="J135" s="10"/>
      <c r="M135" s="11"/>
      <c r="Q135" s="7" t="str">
        <f>IF(VedAarnaSKUMaster[[#This Row],[HSN/SAC Code]]=998822,5%,IF(VedAarnaSKUMaster[[#This Row],[HSN/SAC Code]]=998391,18%,IF(VedAarnaSKUMaster[[#This Row],[HSN/SAC Code]]=998723,5%,"")))</f>
        <v/>
      </c>
      <c r="R135" s="5" t="str">
        <f t="shared" si="25"/>
        <v/>
      </c>
      <c r="S135" s="5" t="str">
        <f t="shared" si="26"/>
        <v/>
      </c>
      <c r="T135" s="11"/>
      <c r="U135" s="8" t="str">
        <f>IF(OR(VedAarnaSKUMaster[[#This Row],[Selling Price]]="",VedAarnaSKUMaster[[#This Row],[Selling Price]]=0),"",CEILING(VedAarnaSKUMaster[[#This Row],[Selling Price]]/(1-20%),100)-1)</f>
        <v/>
      </c>
      <c r="V135">
        <f t="shared" si="36"/>
        <v>0</v>
      </c>
      <c r="W135" s="8"/>
      <c r="Z135" s="6" t="str">
        <f t="shared" si="27"/>
        <v/>
      </c>
      <c r="AA135" s="6" t="str">
        <f t="shared" si="28"/>
        <v/>
      </c>
      <c r="AB135" s="6" t="str">
        <f t="shared" si="29"/>
        <v/>
      </c>
      <c r="AC135" s="6" t="str">
        <f t="shared" si="30"/>
        <v/>
      </c>
      <c r="AD135" s="6" t="str">
        <f t="shared" si="31"/>
        <v/>
      </c>
      <c r="AE135" s="6" t="str">
        <f t="shared" si="32"/>
        <v/>
      </c>
      <c r="AF135" s="6" t="str">
        <f t="shared" si="33"/>
        <v/>
      </c>
      <c r="AG135" s="6" t="str">
        <f t="shared" si="34"/>
        <v/>
      </c>
      <c r="AH135" s="6" t="str">
        <f t="shared" si="35"/>
        <v/>
      </c>
    </row>
    <row r="136" spans="1:34">
      <c r="A136" s="9"/>
      <c r="C136" s="4" t="str">
        <f>IFERROR(VLOOKUP(B136,'Code Lists'!$A:$B,2,FALSE),"")</f>
        <v/>
      </c>
      <c r="F136" s="4" t="str">
        <f>IFERROR(VLOOKUP(E136,'Code Lists'!$D:$E,2,FALSE),"")</f>
        <v/>
      </c>
      <c r="H136" s="4" t="str">
        <f>IFERROR(VLOOKUP(G136,'Code Lists'!$G:$H,2,FALSE),"")</f>
        <v/>
      </c>
      <c r="J136" s="10"/>
      <c r="M136" s="11"/>
      <c r="Q136" s="7" t="str">
        <f>IF(VedAarnaSKUMaster[[#This Row],[HSN/SAC Code]]=998822,5%,IF(VedAarnaSKUMaster[[#This Row],[HSN/SAC Code]]=998391,18%,IF(VedAarnaSKUMaster[[#This Row],[HSN/SAC Code]]=998723,5%,"")))</f>
        <v/>
      </c>
      <c r="R136" s="5" t="str">
        <f t="shared" si="25"/>
        <v/>
      </c>
      <c r="S136" s="5" t="str">
        <f t="shared" si="26"/>
        <v/>
      </c>
      <c r="T136" s="11"/>
      <c r="U136" s="8" t="str">
        <f>IF(OR(VedAarnaSKUMaster[[#This Row],[Selling Price]]="",VedAarnaSKUMaster[[#This Row],[Selling Price]]=0),"",CEILING(VedAarnaSKUMaster[[#This Row],[Selling Price]]/(1-20%),100)-1)</f>
        <v/>
      </c>
      <c r="V136">
        <f t="shared" si="36"/>
        <v>0</v>
      </c>
      <c r="W136" s="8"/>
      <c r="Z136" s="6" t="str">
        <f t="shared" si="27"/>
        <v/>
      </c>
      <c r="AA136" s="6" t="str">
        <f t="shared" si="28"/>
        <v/>
      </c>
      <c r="AB136" s="6" t="str">
        <f t="shared" si="29"/>
        <v/>
      </c>
      <c r="AC136" s="6" t="str">
        <f t="shared" si="30"/>
        <v/>
      </c>
      <c r="AD136" s="6" t="str">
        <f t="shared" si="31"/>
        <v/>
      </c>
      <c r="AE136" s="6" t="str">
        <f t="shared" si="32"/>
        <v/>
      </c>
      <c r="AF136" s="6" t="str">
        <f t="shared" si="33"/>
        <v/>
      </c>
      <c r="AG136" s="6" t="str">
        <f t="shared" si="34"/>
        <v/>
      </c>
      <c r="AH136" s="6" t="str">
        <f t="shared" si="35"/>
        <v/>
      </c>
    </row>
    <row r="137" spans="1:34">
      <c r="A137" s="9"/>
      <c r="C137" s="4" t="str">
        <f>IFERROR(VLOOKUP(B137,'Code Lists'!$A:$B,2,FALSE),"")</f>
        <v/>
      </c>
      <c r="F137" s="4" t="str">
        <f>IFERROR(VLOOKUP(E137,'Code Lists'!$D:$E,2,FALSE),"")</f>
        <v/>
      </c>
      <c r="H137" s="4" t="str">
        <f>IFERROR(VLOOKUP(G137,'Code Lists'!$G:$H,2,FALSE),"")</f>
        <v/>
      </c>
      <c r="J137" s="10"/>
      <c r="M137" s="11"/>
      <c r="Q137" s="7" t="str">
        <f>IF(VedAarnaSKUMaster[[#This Row],[HSN/SAC Code]]=998822,5%,IF(VedAarnaSKUMaster[[#This Row],[HSN/SAC Code]]=998391,18%,IF(VedAarnaSKUMaster[[#This Row],[HSN/SAC Code]]=998723,5%,"")))</f>
        <v/>
      </c>
      <c r="R137" s="5" t="str">
        <f t="shared" si="25"/>
        <v/>
      </c>
      <c r="S137" s="5" t="str">
        <f t="shared" si="26"/>
        <v/>
      </c>
      <c r="T137" s="11"/>
      <c r="U137" s="8" t="str">
        <f>IF(OR(VedAarnaSKUMaster[[#This Row],[Selling Price]]="",VedAarnaSKUMaster[[#This Row],[Selling Price]]=0),"",CEILING(VedAarnaSKUMaster[[#This Row],[Selling Price]]/(1-20%),100)-1)</f>
        <v/>
      </c>
      <c r="V137">
        <f t="shared" si="36"/>
        <v>0</v>
      </c>
      <c r="W137" s="8"/>
      <c r="Z137" s="6" t="str">
        <f t="shared" si="27"/>
        <v/>
      </c>
      <c r="AA137" s="6" t="str">
        <f t="shared" si="28"/>
        <v/>
      </c>
      <c r="AB137" s="6" t="str">
        <f t="shared" si="29"/>
        <v/>
      </c>
      <c r="AC137" s="6" t="str">
        <f t="shared" si="30"/>
        <v/>
      </c>
      <c r="AD137" s="6" t="str">
        <f t="shared" si="31"/>
        <v/>
      </c>
      <c r="AE137" s="6" t="str">
        <f t="shared" si="32"/>
        <v/>
      </c>
      <c r="AF137" s="6" t="str">
        <f t="shared" si="33"/>
        <v/>
      </c>
      <c r="AG137" s="6" t="str">
        <f t="shared" si="34"/>
        <v/>
      </c>
      <c r="AH137" s="6" t="str">
        <f t="shared" si="35"/>
        <v/>
      </c>
    </row>
    <row r="138" spans="1:34">
      <c r="A138" s="9"/>
      <c r="C138" s="4" t="str">
        <f>IFERROR(VLOOKUP(B138,'Code Lists'!$A:$B,2,FALSE),"")</f>
        <v/>
      </c>
      <c r="F138" s="4" t="str">
        <f>IFERROR(VLOOKUP(E138,'Code Lists'!$D:$E,2,FALSE),"")</f>
        <v/>
      </c>
      <c r="H138" s="4" t="str">
        <f>IFERROR(VLOOKUP(G138,'Code Lists'!$G:$H,2,FALSE),"")</f>
        <v/>
      </c>
      <c r="J138" s="10"/>
      <c r="M138" s="11"/>
      <c r="Q138" s="7" t="str">
        <f>IF(VedAarnaSKUMaster[[#This Row],[HSN/SAC Code]]=998822,5%,IF(VedAarnaSKUMaster[[#This Row],[HSN/SAC Code]]=998391,18%,IF(VedAarnaSKUMaster[[#This Row],[HSN/SAC Code]]=998723,5%,"")))</f>
        <v/>
      </c>
      <c r="R138" s="5" t="str">
        <f t="shared" si="25"/>
        <v/>
      </c>
      <c r="S138" s="5" t="str">
        <f t="shared" si="26"/>
        <v/>
      </c>
      <c r="T138" s="11"/>
      <c r="U138" s="8" t="str">
        <f>IF(OR(VedAarnaSKUMaster[[#This Row],[Selling Price]]="",VedAarnaSKUMaster[[#This Row],[Selling Price]]=0),"",CEILING(VedAarnaSKUMaster[[#This Row],[Selling Price]]/(1-20%),100)-1)</f>
        <v/>
      </c>
      <c r="V138">
        <f t="shared" si="36"/>
        <v>0</v>
      </c>
      <c r="W138" s="8"/>
      <c r="Z138" s="6" t="str">
        <f t="shared" si="27"/>
        <v/>
      </c>
      <c r="AA138" s="6" t="str">
        <f t="shared" si="28"/>
        <v/>
      </c>
      <c r="AB138" s="6" t="str">
        <f t="shared" si="29"/>
        <v/>
      </c>
      <c r="AC138" s="6" t="str">
        <f t="shared" si="30"/>
        <v/>
      </c>
      <c r="AD138" s="6" t="str">
        <f t="shared" si="31"/>
        <v/>
      </c>
      <c r="AE138" s="6" t="str">
        <f t="shared" si="32"/>
        <v/>
      </c>
      <c r="AF138" s="6" t="str">
        <f t="shared" si="33"/>
        <v/>
      </c>
      <c r="AG138" s="6" t="str">
        <f t="shared" si="34"/>
        <v/>
      </c>
      <c r="AH138" s="6" t="str">
        <f t="shared" si="35"/>
        <v/>
      </c>
    </row>
    <row r="139" spans="1:34">
      <c r="A139" s="9"/>
      <c r="C139" s="4" t="str">
        <f>IFERROR(VLOOKUP(B139,'Code Lists'!$A:$B,2,FALSE),"")</f>
        <v/>
      </c>
      <c r="F139" s="4" t="str">
        <f>IFERROR(VLOOKUP(E139,'Code Lists'!$D:$E,2,FALSE),"")</f>
        <v/>
      </c>
      <c r="H139" s="4" t="str">
        <f>IFERROR(VLOOKUP(G139,'Code Lists'!$G:$H,2,FALSE),"")</f>
        <v/>
      </c>
      <c r="J139" s="10"/>
      <c r="M139" s="11"/>
      <c r="Q139" s="7" t="str">
        <f>IF(VedAarnaSKUMaster[[#This Row],[HSN/SAC Code]]=998822,5%,IF(VedAarnaSKUMaster[[#This Row],[HSN/SAC Code]]=998391,18%,IF(VedAarnaSKUMaster[[#This Row],[HSN/SAC Code]]=998723,5%,"")))</f>
        <v/>
      </c>
      <c r="R139" s="5" t="str">
        <f t="shared" si="25"/>
        <v/>
      </c>
      <c r="S139" s="5" t="str">
        <f t="shared" si="26"/>
        <v/>
      </c>
      <c r="T139" s="11"/>
      <c r="U139" s="8" t="str">
        <f>IF(OR(VedAarnaSKUMaster[[#This Row],[Selling Price]]="",VedAarnaSKUMaster[[#This Row],[Selling Price]]=0),"",CEILING(VedAarnaSKUMaster[[#This Row],[Selling Price]]/(1-20%),100)-1)</f>
        <v/>
      </c>
      <c r="V139">
        <f t="shared" si="36"/>
        <v>0</v>
      </c>
      <c r="W139" s="8"/>
      <c r="Z139" s="6" t="str">
        <f t="shared" si="27"/>
        <v/>
      </c>
      <c r="AA139" s="6" t="str">
        <f t="shared" si="28"/>
        <v/>
      </c>
      <c r="AB139" s="6" t="str">
        <f t="shared" si="29"/>
        <v/>
      </c>
      <c r="AC139" s="6" t="str">
        <f t="shared" si="30"/>
        <v/>
      </c>
      <c r="AD139" s="6" t="str">
        <f t="shared" si="31"/>
        <v/>
      </c>
      <c r="AE139" s="6" t="str">
        <f t="shared" si="32"/>
        <v/>
      </c>
      <c r="AF139" s="6" t="str">
        <f t="shared" si="33"/>
        <v/>
      </c>
      <c r="AG139" s="6" t="str">
        <f t="shared" si="34"/>
        <v/>
      </c>
      <c r="AH139" s="6" t="str">
        <f t="shared" si="35"/>
        <v/>
      </c>
    </row>
    <row r="140" spans="1:34">
      <c r="A140" s="9"/>
      <c r="C140" s="4" t="str">
        <f>IFERROR(VLOOKUP(B140,'Code Lists'!$A:$B,2,FALSE),"")</f>
        <v/>
      </c>
      <c r="F140" s="4" t="str">
        <f>IFERROR(VLOOKUP(E140,'Code Lists'!$D:$E,2,FALSE),"")</f>
        <v/>
      </c>
      <c r="H140" s="4" t="str">
        <f>IFERROR(VLOOKUP(G140,'Code Lists'!$G:$H,2,FALSE),"")</f>
        <v/>
      </c>
      <c r="J140" s="10"/>
      <c r="M140" s="11"/>
      <c r="Q140" s="7" t="str">
        <f>IF(VedAarnaSKUMaster[[#This Row],[HSN/SAC Code]]=998822,5%,IF(VedAarnaSKUMaster[[#This Row],[HSN/SAC Code]]=998391,18%,IF(VedAarnaSKUMaster[[#This Row],[HSN/SAC Code]]=998723,5%,"")))</f>
        <v/>
      </c>
      <c r="R140" s="5" t="str">
        <f t="shared" si="25"/>
        <v/>
      </c>
      <c r="S140" s="5" t="str">
        <f t="shared" si="26"/>
        <v/>
      </c>
      <c r="T140" s="11"/>
      <c r="U140" s="8" t="str">
        <f>IF(OR(VedAarnaSKUMaster[[#This Row],[Selling Price]]="",VedAarnaSKUMaster[[#This Row],[Selling Price]]=0),"",CEILING(VedAarnaSKUMaster[[#This Row],[Selling Price]]/(1-20%),100)-1)</f>
        <v/>
      </c>
      <c r="V140">
        <f t="shared" si="36"/>
        <v>0</v>
      </c>
      <c r="W140" s="8"/>
      <c r="Z140" s="6" t="str">
        <f t="shared" si="27"/>
        <v/>
      </c>
      <c r="AA140" s="6" t="str">
        <f t="shared" si="28"/>
        <v/>
      </c>
      <c r="AB140" s="6" t="str">
        <f t="shared" si="29"/>
        <v/>
      </c>
      <c r="AC140" s="6" t="str">
        <f t="shared" si="30"/>
        <v/>
      </c>
      <c r="AD140" s="6" t="str">
        <f t="shared" si="31"/>
        <v/>
      </c>
      <c r="AE140" s="6" t="str">
        <f t="shared" si="32"/>
        <v/>
      </c>
      <c r="AF140" s="6" t="str">
        <f t="shared" si="33"/>
        <v/>
      </c>
      <c r="AG140" s="6" t="str">
        <f t="shared" si="34"/>
        <v/>
      </c>
      <c r="AH140" s="6" t="str">
        <f t="shared" si="35"/>
        <v/>
      </c>
    </row>
    <row r="141" spans="1:34">
      <c r="A141" s="9"/>
      <c r="C141" s="4" t="str">
        <f>IFERROR(VLOOKUP(B141,'Code Lists'!$A:$B,2,FALSE),"")</f>
        <v/>
      </c>
      <c r="F141" s="4" t="str">
        <f>IFERROR(VLOOKUP(E141,'Code Lists'!$D:$E,2,FALSE),"")</f>
        <v/>
      </c>
      <c r="H141" s="4" t="str">
        <f>IFERROR(VLOOKUP(G141,'Code Lists'!$G:$H,2,FALSE),"")</f>
        <v/>
      </c>
      <c r="J141" s="10"/>
      <c r="M141" s="11"/>
      <c r="Q141" s="7" t="str">
        <f>IF(VedAarnaSKUMaster[[#This Row],[HSN/SAC Code]]=998822,5%,IF(VedAarnaSKUMaster[[#This Row],[HSN/SAC Code]]=998391,18%,IF(VedAarnaSKUMaster[[#This Row],[HSN/SAC Code]]=998723,5%,"")))</f>
        <v/>
      </c>
      <c r="R141" s="5" t="str">
        <f t="shared" si="25"/>
        <v/>
      </c>
      <c r="S141" s="5" t="str">
        <f t="shared" si="26"/>
        <v/>
      </c>
      <c r="T141" s="11"/>
      <c r="U141" s="8" t="str">
        <f>IF(OR(VedAarnaSKUMaster[[#This Row],[Selling Price]]="",VedAarnaSKUMaster[[#This Row],[Selling Price]]=0),"",CEILING(VedAarnaSKUMaster[[#This Row],[Selling Price]]/(1-20%),100)-1)</f>
        <v/>
      </c>
      <c r="V141">
        <f t="shared" si="36"/>
        <v>0</v>
      </c>
      <c r="W141" s="8"/>
      <c r="Z141" s="6" t="str">
        <f t="shared" si="27"/>
        <v/>
      </c>
      <c r="AA141" s="6" t="str">
        <f t="shared" si="28"/>
        <v/>
      </c>
      <c r="AB141" s="6" t="str">
        <f t="shared" si="29"/>
        <v/>
      </c>
      <c r="AC141" s="6" t="str">
        <f t="shared" si="30"/>
        <v/>
      </c>
      <c r="AD141" s="6" t="str">
        <f t="shared" si="31"/>
        <v/>
      </c>
      <c r="AE141" s="6" t="str">
        <f t="shared" si="32"/>
        <v/>
      </c>
      <c r="AF141" s="6" t="str">
        <f t="shared" si="33"/>
        <v/>
      </c>
      <c r="AG141" s="6" t="str">
        <f t="shared" si="34"/>
        <v/>
      </c>
      <c r="AH141" s="6" t="str">
        <f t="shared" si="35"/>
        <v/>
      </c>
    </row>
    <row r="142" spans="1:34">
      <c r="A142" s="9"/>
      <c r="C142" s="4" t="str">
        <f>IFERROR(VLOOKUP(B142,'Code Lists'!$A:$B,2,FALSE),"")</f>
        <v/>
      </c>
      <c r="F142" s="4" t="str">
        <f>IFERROR(VLOOKUP(E142,'Code Lists'!$D:$E,2,FALSE),"")</f>
        <v/>
      </c>
      <c r="H142" s="4" t="str">
        <f>IFERROR(VLOOKUP(G142,'Code Lists'!$G:$H,2,FALSE),"")</f>
        <v/>
      </c>
      <c r="J142" s="10"/>
      <c r="M142" s="11"/>
      <c r="Q142" s="7" t="str">
        <f>IF(VedAarnaSKUMaster[[#This Row],[HSN/SAC Code]]=998822,5%,IF(VedAarnaSKUMaster[[#This Row],[HSN/SAC Code]]=998391,18%,IF(VedAarnaSKUMaster[[#This Row],[HSN/SAC Code]]=998723,5%,"")))</f>
        <v/>
      </c>
      <c r="R142" s="5" t="str">
        <f t="shared" si="25"/>
        <v/>
      </c>
      <c r="S142" s="5" t="str">
        <f t="shared" si="26"/>
        <v/>
      </c>
      <c r="T142" s="11"/>
      <c r="U142" s="8" t="str">
        <f>IF(OR(VedAarnaSKUMaster[[#This Row],[Selling Price]]="",VedAarnaSKUMaster[[#This Row],[Selling Price]]=0),"",CEILING(VedAarnaSKUMaster[[#This Row],[Selling Price]]/(1-20%),100)-1)</f>
        <v/>
      </c>
      <c r="V142">
        <f t="shared" si="36"/>
        <v>0</v>
      </c>
      <c r="W142" s="8"/>
      <c r="Z142" s="6" t="str">
        <f t="shared" si="27"/>
        <v/>
      </c>
      <c r="AA142" s="6" t="str">
        <f t="shared" si="28"/>
        <v/>
      </c>
      <c r="AB142" s="6" t="str">
        <f t="shared" si="29"/>
        <v/>
      </c>
      <c r="AC142" s="6" t="str">
        <f t="shared" si="30"/>
        <v/>
      </c>
      <c r="AD142" s="6" t="str">
        <f t="shared" si="31"/>
        <v/>
      </c>
      <c r="AE142" s="6" t="str">
        <f t="shared" si="32"/>
        <v/>
      </c>
      <c r="AF142" s="6" t="str">
        <f t="shared" si="33"/>
        <v/>
      </c>
      <c r="AG142" s="6" t="str">
        <f t="shared" si="34"/>
        <v/>
      </c>
      <c r="AH142" s="6" t="str">
        <f t="shared" si="35"/>
        <v/>
      </c>
    </row>
    <row r="143" spans="1:34">
      <c r="A143" s="9"/>
      <c r="C143" s="4" t="str">
        <f>IFERROR(VLOOKUP(B143,'Code Lists'!$A:$B,2,FALSE),"")</f>
        <v/>
      </c>
      <c r="F143" s="4" t="str">
        <f>IFERROR(VLOOKUP(E143,'Code Lists'!$D:$E,2,FALSE),"")</f>
        <v/>
      </c>
      <c r="H143" s="4" t="str">
        <f>IFERROR(VLOOKUP(G143,'Code Lists'!$G:$H,2,FALSE),"")</f>
        <v/>
      </c>
      <c r="J143" s="10"/>
      <c r="M143" s="11"/>
      <c r="Q143" s="7" t="str">
        <f>IF(VedAarnaSKUMaster[[#This Row],[HSN/SAC Code]]=998822,5%,IF(VedAarnaSKUMaster[[#This Row],[HSN/SAC Code]]=998391,18%,IF(VedAarnaSKUMaster[[#This Row],[HSN/SAC Code]]=998723,5%,"")))</f>
        <v/>
      </c>
      <c r="R143" s="5" t="str">
        <f t="shared" si="25"/>
        <v/>
      </c>
      <c r="S143" s="5" t="str">
        <f t="shared" si="26"/>
        <v/>
      </c>
      <c r="T143" s="11"/>
      <c r="U143" s="8" t="str">
        <f>IF(OR(VedAarnaSKUMaster[[#This Row],[Selling Price]]="",VedAarnaSKUMaster[[#This Row],[Selling Price]]=0),"",CEILING(VedAarnaSKUMaster[[#This Row],[Selling Price]]/(1-20%),100)-1)</f>
        <v/>
      </c>
      <c r="V143">
        <f t="shared" si="36"/>
        <v>0</v>
      </c>
      <c r="W143" s="8"/>
      <c r="Z143" s="6" t="str">
        <f t="shared" si="27"/>
        <v/>
      </c>
      <c r="AA143" s="6" t="str">
        <f t="shared" si="28"/>
        <v/>
      </c>
      <c r="AB143" s="6" t="str">
        <f t="shared" si="29"/>
        <v/>
      </c>
      <c r="AC143" s="6" t="str">
        <f t="shared" si="30"/>
        <v/>
      </c>
      <c r="AD143" s="6" t="str">
        <f t="shared" si="31"/>
        <v/>
      </c>
      <c r="AE143" s="6" t="str">
        <f t="shared" si="32"/>
        <v/>
      </c>
      <c r="AF143" s="6" t="str">
        <f t="shared" si="33"/>
        <v/>
      </c>
      <c r="AG143" s="6" t="str">
        <f t="shared" si="34"/>
        <v/>
      </c>
      <c r="AH143" s="6" t="str">
        <f t="shared" si="35"/>
        <v/>
      </c>
    </row>
    <row r="144" spans="1:34">
      <c r="A144" s="9"/>
      <c r="C144" s="4" t="str">
        <f>IFERROR(VLOOKUP(B144,'Code Lists'!$A:$B,2,FALSE),"")</f>
        <v/>
      </c>
      <c r="F144" s="4" t="str">
        <f>IFERROR(VLOOKUP(E144,'Code Lists'!$D:$E,2,FALSE),"")</f>
        <v/>
      </c>
      <c r="H144" s="4" t="str">
        <f>IFERROR(VLOOKUP(G144,'Code Lists'!$G:$H,2,FALSE),"")</f>
        <v/>
      </c>
      <c r="J144" s="10"/>
      <c r="M144" s="11"/>
      <c r="Q144" s="7" t="str">
        <f>IF(VedAarnaSKUMaster[[#This Row],[HSN/SAC Code]]=998822,5%,IF(VedAarnaSKUMaster[[#This Row],[HSN/SAC Code]]=998391,18%,IF(VedAarnaSKUMaster[[#This Row],[HSN/SAC Code]]=998723,5%,"")))</f>
        <v/>
      </c>
      <c r="R144" s="5" t="str">
        <f t="shared" si="25"/>
        <v/>
      </c>
      <c r="S144" s="5" t="str">
        <f t="shared" si="26"/>
        <v/>
      </c>
      <c r="T144" s="11"/>
      <c r="U144" s="8" t="str">
        <f>IF(OR(VedAarnaSKUMaster[[#This Row],[Selling Price]]="",VedAarnaSKUMaster[[#This Row],[Selling Price]]=0),"",CEILING(VedAarnaSKUMaster[[#This Row],[Selling Price]]/(1-20%),100)-1)</f>
        <v/>
      </c>
      <c r="V144">
        <f t="shared" si="36"/>
        <v>0</v>
      </c>
      <c r="W144" s="8"/>
      <c r="Z144" s="6" t="str">
        <f t="shared" si="27"/>
        <v/>
      </c>
      <c r="AA144" s="6" t="str">
        <f t="shared" si="28"/>
        <v/>
      </c>
      <c r="AB144" s="6" t="str">
        <f t="shared" si="29"/>
        <v/>
      </c>
      <c r="AC144" s="6" t="str">
        <f t="shared" si="30"/>
        <v/>
      </c>
      <c r="AD144" s="6" t="str">
        <f t="shared" si="31"/>
        <v/>
      </c>
      <c r="AE144" s="6" t="str">
        <f t="shared" si="32"/>
        <v/>
      </c>
      <c r="AF144" s="6" t="str">
        <f t="shared" si="33"/>
        <v/>
      </c>
      <c r="AG144" s="6" t="str">
        <f t="shared" si="34"/>
        <v/>
      </c>
      <c r="AH144" s="6" t="str">
        <f t="shared" si="35"/>
        <v/>
      </c>
    </row>
    <row r="145" spans="1:34">
      <c r="A145" s="9"/>
      <c r="C145" s="4" t="str">
        <f>IFERROR(VLOOKUP(B145,'Code Lists'!$A:$B,2,FALSE),"")</f>
        <v/>
      </c>
      <c r="F145" s="4" t="str">
        <f>IFERROR(VLOOKUP(E145,'Code Lists'!$D:$E,2,FALSE),"")</f>
        <v/>
      </c>
      <c r="H145" s="4" t="str">
        <f>IFERROR(VLOOKUP(G145,'Code Lists'!$G:$H,2,FALSE),"")</f>
        <v/>
      </c>
      <c r="J145" s="10"/>
      <c r="M145" s="11"/>
      <c r="Q145" s="7" t="str">
        <f>IF(VedAarnaSKUMaster[[#This Row],[HSN/SAC Code]]=998822,5%,IF(VedAarnaSKUMaster[[#This Row],[HSN/SAC Code]]=998391,18%,IF(VedAarnaSKUMaster[[#This Row],[HSN/SAC Code]]=998723,5%,"")))</f>
        <v/>
      </c>
      <c r="R145" s="5" t="str">
        <f t="shared" si="25"/>
        <v/>
      </c>
      <c r="S145" s="5" t="str">
        <f t="shared" si="26"/>
        <v/>
      </c>
      <c r="T145" s="11"/>
      <c r="U145" s="8" t="str">
        <f>IF(OR(VedAarnaSKUMaster[[#This Row],[Selling Price]]="",VedAarnaSKUMaster[[#This Row],[Selling Price]]=0),"",CEILING(VedAarnaSKUMaster[[#This Row],[Selling Price]]/(1-20%),100)-1)</f>
        <v/>
      </c>
      <c r="V145">
        <f t="shared" si="36"/>
        <v>0</v>
      </c>
      <c r="W145" s="8"/>
      <c r="Z145" s="6" t="str">
        <f t="shared" si="27"/>
        <v/>
      </c>
      <c r="AA145" s="6" t="str">
        <f t="shared" si="28"/>
        <v/>
      </c>
      <c r="AB145" s="6" t="str">
        <f t="shared" si="29"/>
        <v/>
      </c>
      <c r="AC145" s="6" t="str">
        <f t="shared" si="30"/>
        <v/>
      </c>
      <c r="AD145" s="6" t="str">
        <f t="shared" si="31"/>
        <v/>
      </c>
      <c r="AE145" s="6" t="str">
        <f t="shared" si="32"/>
        <v/>
      </c>
      <c r="AF145" s="6" t="str">
        <f t="shared" si="33"/>
        <v/>
      </c>
      <c r="AG145" s="6" t="str">
        <f t="shared" si="34"/>
        <v/>
      </c>
      <c r="AH145" s="6" t="str">
        <f t="shared" si="35"/>
        <v/>
      </c>
    </row>
    <row r="146" spans="1:34">
      <c r="A146" s="9"/>
      <c r="C146" s="4" t="str">
        <f>IFERROR(VLOOKUP(B146,'Code Lists'!$A:$B,2,FALSE),"")</f>
        <v/>
      </c>
      <c r="F146" s="4" t="str">
        <f>IFERROR(VLOOKUP(E146,'Code Lists'!$D:$E,2,FALSE),"")</f>
        <v/>
      </c>
      <c r="H146" s="4" t="str">
        <f>IFERROR(VLOOKUP(G146,'Code Lists'!$G:$H,2,FALSE),"")</f>
        <v/>
      </c>
      <c r="J146" s="10"/>
      <c r="M146" s="11"/>
      <c r="Q146" s="7" t="str">
        <f>IF(VedAarnaSKUMaster[[#This Row],[HSN/SAC Code]]=998822,5%,IF(VedAarnaSKUMaster[[#This Row],[HSN/SAC Code]]=998391,18%,IF(VedAarnaSKUMaster[[#This Row],[HSN/SAC Code]]=998723,5%,"")))</f>
        <v/>
      </c>
      <c r="R146" s="5" t="str">
        <f t="shared" si="25"/>
        <v/>
      </c>
      <c r="S146" s="5" t="str">
        <f t="shared" si="26"/>
        <v/>
      </c>
      <c r="T146" s="11"/>
      <c r="U146" s="8" t="str">
        <f>IF(OR(VedAarnaSKUMaster[[#This Row],[Selling Price]]="",VedAarnaSKUMaster[[#This Row],[Selling Price]]=0),"",CEILING(VedAarnaSKUMaster[[#This Row],[Selling Price]]/(1-20%),100)-1)</f>
        <v/>
      </c>
      <c r="V146">
        <f t="shared" si="36"/>
        <v>0</v>
      </c>
      <c r="W146" s="8"/>
      <c r="Z146" s="6" t="str">
        <f t="shared" si="27"/>
        <v/>
      </c>
      <c r="AA146" s="6" t="str">
        <f t="shared" si="28"/>
        <v/>
      </c>
      <c r="AB146" s="6" t="str">
        <f t="shared" si="29"/>
        <v/>
      </c>
      <c r="AC146" s="6" t="str">
        <f t="shared" si="30"/>
        <v/>
      </c>
      <c r="AD146" s="6" t="str">
        <f t="shared" si="31"/>
        <v/>
      </c>
      <c r="AE146" s="6" t="str">
        <f t="shared" si="32"/>
        <v/>
      </c>
      <c r="AF146" s="6" t="str">
        <f t="shared" si="33"/>
        <v/>
      </c>
      <c r="AG146" s="6" t="str">
        <f t="shared" si="34"/>
        <v/>
      </c>
      <c r="AH146" s="6" t="str">
        <f t="shared" si="35"/>
        <v/>
      </c>
    </row>
    <row r="147" spans="1:34">
      <c r="A147" s="9"/>
      <c r="C147" s="4" t="str">
        <f>IFERROR(VLOOKUP(B147,'Code Lists'!$A:$B,2,FALSE),"")</f>
        <v/>
      </c>
      <c r="F147" s="4" t="str">
        <f>IFERROR(VLOOKUP(E147,'Code Lists'!$D:$E,2,FALSE),"")</f>
        <v/>
      </c>
      <c r="H147" s="4" t="str">
        <f>IFERROR(VLOOKUP(G147,'Code Lists'!$G:$H,2,FALSE),"")</f>
        <v/>
      </c>
      <c r="J147" s="10"/>
      <c r="M147" s="11"/>
      <c r="Q147" s="7" t="str">
        <f>IF(VedAarnaSKUMaster[[#This Row],[HSN/SAC Code]]=998822,5%,IF(VedAarnaSKUMaster[[#This Row],[HSN/SAC Code]]=998391,18%,IF(VedAarnaSKUMaster[[#This Row],[HSN/SAC Code]]=998723,5%,"")))</f>
        <v/>
      </c>
      <c r="R147" s="5" t="str">
        <f t="shared" si="25"/>
        <v/>
      </c>
      <c r="S147" s="5" t="str">
        <f t="shared" si="26"/>
        <v/>
      </c>
      <c r="T147" s="11"/>
      <c r="U147" s="8" t="str">
        <f>IF(OR(VedAarnaSKUMaster[[#This Row],[Selling Price]]="",VedAarnaSKUMaster[[#This Row],[Selling Price]]=0),"",CEILING(VedAarnaSKUMaster[[#This Row],[Selling Price]]/(1-20%),100)-1)</f>
        <v/>
      </c>
      <c r="V147">
        <f t="shared" si="36"/>
        <v>0</v>
      </c>
      <c r="W147" s="8"/>
      <c r="Z147" s="6" t="str">
        <f t="shared" si="27"/>
        <v/>
      </c>
      <c r="AA147" s="6" t="str">
        <f t="shared" si="28"/>
        <v/>
      </c>
      <c r="AB147" s="6" t="str">
        <f t="shared" si="29"/>
        <v/>
      </c>
      <c r="AC147" s="6" t="str">
        <f t="shared" si="30"/>
        <v/>
      </c>
      <c r="AD147" s="6" t="str">
        <f t="shared" si="31"/>
        <v/>
      </c>
      <c r="AE147" s="6" t="str">
        <f t="shared" si="32"/>
        <v/>
      </c>
      <c r="AF147" s="6" t="str">
        <f t="shared" si="33"/>
        <v/>
      </c>
      <c r="AG147" s="6" t="str">
        <f t="shared" si="34"/>
        <v/>
      </c>
      <c r="AH147" s="6" t="str">
        <f t="shared" si="35"/>
        <v/>
      </c>
    </row>
    <row r="148" spans="1:34">
      <c r="A148" s="9"/>
      <c r="C148" s="4" t="str">
        <f>IFERROR(VLOOKUP(B148,'Code Lists'!$A:$B,2,FALSE),"")</f>
        <v/>
      </c>
      <c r="F148" s="4" t="str">
        <f>IFERROR(VLOOKUP(E148,'Code Lists'!$D:$E,2,FALSE),"")</f>
        <v/>
      </c>
      <c r="H148" s="4" t="str">
        <f>IFERROR(VLOOKUP(G148,'Code Lists'!$G:$H,2,FALSE),"")</f>
        <v/>
      </c>
      <c r="J148" s="10"/>
      <c r="M148" s="11"/>
      <c r="Q148" s="7" t="str">
        <f>IF(VedAarnaSKUMaster[[#This Row],[HSN/SAC Code]]=998822,5%,IF(VedAarnaSKUMaster[[#This Row],[HSN/SAC Code]]=998391,18%,IF(VedAarnaSKUMaster[[#This Row],[HSN/SAC Code]]=998723,5%,"")))</f>
        <v/>
      </c>
      <c r="R148" s="5" t="str">
        <f t="shared" si="25"/>
        <v/>
      </c>
      <c r="S148" s="5" t="str">
        <f t="shared" si="26"/>
        <v/>
      </c>
      <c r="T148" s="11"/>
      <c r="U148" s="8" t="str">
        <f>IF(OR(VedAarnaSKUMaster[[#This Row],[Selling Price]]="",VedAarnaSKUMaster[[#This Row],[Selling Price]]=0),"",CEILING(VedAarnaSKUMaster[[#This Row],[Selling Price]]/(1-20%),100)-1)</f>
        <v/>
      </c>
      <c r="V148">
        <f t="shared" si="36"/>
        <v>0</v>
      </c>
      <c r="W148" s="8"/>
      <c r="Z148" s="6" t="str">
        <f t="shared" si="27"/>
        <v/>
      </c>
      <c r="AA148" s="6" t="str">
        <f t="shared" si="28"/>
        <v/>
      </c>
      <c r="AB148" s="6" t="str">
        <f t="shared" si="29"/>
        <v/>
      </c>
      <c r="AC148" s="6" t="str">
        <f t="shared" si="30"/>
        <v/>
      </c>
      <c r="AD148" s="6" t="str">
        <f t="shared" si="31"/>
        <v/>
      </c>
      <c r="AE148" s="6" t="str">
        <f t="shared" si="32"/>
        <v/>
      </c>
      <c r="AF148" s="6" t="str">
        <f t="shared" si="33"/>
        <v/>
      </c>
      <c r="AG148" s="6" t="str">
        <f t="shared" si="34"/>
        <v/>
      </c>
      <c r="AH148" s="6" t="str">
        <f t="shared" si="35"/>
        <v/>
      </c>
    </row>
    <row r="149" spans="1:34">
      <c r="A149" s="9"/>
      <c r="C149" s="4" t="str">
        <f>IFERROR(VLOOKUP(B149,'Code Lists'!$A:$B,2,FALSE),"")</f>
        <v/>
      </c>
      <c r="F149" s="4" t="str">
        <f>IFERROR(VLOOKUP(E149,'Code Lists'!$D:$E,2,FALSE),"")</f>
        <v/>
      </c>
      <c r="H149" s="4" t="str">
        <f>IFERROR(VLOOKUP(G149,'Code Lists'!$G:$H,2,FALSE),"")</f>
        <v/>
      </c>
      <c r="J149" s="10"/>
      <c r="M149" s="11"/>
      <c r="Q149" s="7" t="str">
        <f>IF(VedAarnaSKUMaster[[#This Row],[HSN/SAC Code]]=998822,5%,IF(VedAarnaSKUMaster[[#This Row],[HSN/SAC Code]]=998391,18%,IF(VedAarnaSKUMaster[[#This Row],[HSN/SAC Code]]=998723,5%,"")))</f>
        <v/>
      </c>
      <c r="R149" s="5" t="str">
        <f t="shared" si="25"/>
        <v/>
      </c>
      <c r="S149" s="5" t="str">
        <f t="shared" si="26"/>
        <v/>
      </c>
      <c r="T149" s="11"/>
      <c r="U149" s="8" t="str">
        <f>IF(OR(VedAarnaSKUMaster[[#This Row],[Selling Price]]="",VedAarnaSKUMaster[[#This Row],[Selling Price]]=0),"",CEILING(VedAarnaSKUMaster[[#This Row],[Selling Price]]/(1-20%),100)-1)</f>
        <v/>
      </c>
      <c r="V149">
        <f t="shared" si="36"/>
        <v>0</v>
      </c>
      <c r="W149" s="8"/>
      <c r="Z149" s="6" t="str">
        <f t="shared" si="27"/>
        <v/>
      </c>
      <c r="AA149" s="6" t="str">
        <f t="shared" si="28"/>
        <v/>
      </c>
      <c r="AB149" s="6" t="str">
        <f t="shared" si="29"/>
        <v/>
      </c>
      <c r="AC149" s="6" t="str">
        <f t="shared" si="30"/>
        <v/>
      </c>
      <c r="AD149" s="6" t="str">
        <f t="shared" si="31"/>
        <v/>
      </c>
      <c r="AE149" s="6" t="str">
        <f t="shared" si="32"/>
        <v/>
      </c>
      <c r="AF149" s="6" t="str">
        <f t="shared" si="33"/>
        <v/>
      </c>
      <c r="AG149" s="6" t="str">
        <f t="shared" si="34"/>
        <v/>
      </c>
      <c r="AH149" s="6" t="str">
        <f t="shared" si="35"/>
        <v/>
      </c>
    </row>
    <row r="150" spans="1:34">
      <c r="A150" s="9"/>
      <c r="C150" s="4" t="str">
        <f>IFERROR(VLOOKUP(B150,'Code Lists'!$A:$B,2,FALSE),"")</f>
        <v/>
      </c>
      <c r="F150" s="4" t="str">
        <f>IFERROR(VLOOKUP(E150,'Code Lists'!$D:$E,2,FALSE),"")</f>
        <v/>
      </c>
      <c r="H150" s="4" t="str">
        <f>IFERROR(VLOOKUP(G150,'Code Lists'!$G:$H,2,FALSE),"")</f>
        <v/>
      </c>
      <c r="J150" s="10"/>
      <c r="M150" s="11"/>
      <c r="Q150" s="7" t="str">
        <f>IF(VedAarnaSKUMaster[[#This Row],[HSN/SAC Code]]=998822,5%,IF(VedAarnaSKUMaster[[#This Row],[HSN/SAC Code]]=998391,18%,IF(VedAarnaSKUMaster[[#This Row],[HSN/SAC Code]]=998723,5%,"")))</f>
        <v/>
      </c>
      <c r="R150" s="5" t="str">
        <f t="shared" si="25"/>
        <v/>
      </c>
      <c r="S150" s="5" t="str">
        <f t="shared" si="26"/>
        <v/>
      </c>
      <c r="T150" s="11"/>
      <c r="U150" s="8" t="str">
        <f>IF(OR(VedAarnaSKUMaster[[#This Row],[Selling Price]]="",VedAarnaSKUMaster[[#This Row],[Selling Price]]=0),"",CEILING(VedAarnaSKUMaster[[#This Row],[Selling Price]]/(1-20%),100)-1)</f>
        <v/>
      </c>
      <c r="V150">
        <f t="shared" si="36"/>
        <v>0</v>
      </c>
      <c r="W150" s="8"/>
      <c r="Z150" s="6" t="str">
        <f t="shared" si="27"/>
        <v/>
      </c>
      <c r="AA150" s="6" t="str">
        <f t="shared" si="28"/>
        <v/>
      </c>
      <c r="AB150" s="6" t="str">
        <f t="shared" si="29"/>
        <v/>
      </c>
      <c r="AC150" s="6" t="str">
        <f t="shared" si="30"/>
        <v/>
      </c>
      <c r="AD150" s="6" t="str">
        <f t="shared" si="31"/>
        <v/>
      </c>
      <c r="AE150" s="6" t="str">
        <f t="shared" si="32"/>
        <v/>
      </c>
      <c r="AF150" s="6" t="str">
        <f t="shared" si="33"/>
        <v/>
      </c>
      <c r="AG150" s="6" t="str">
        <f t="shared" si="34"/>
        <v/>
      </c>
      <c r="AH150" s="6" t="str">
        <f t="shared" si="35"/>
        <v/>
      </c>
    </row>
    <row r="151" spans="1:34">
      <c r="A151" s="9"/>
      <c r="C151" s="4" t="str">
        <f>IFERROR(VLOOKUP(B151,'Code Lists'!$A:$B,2,FALSE),"")</f>
        <v/>
      </c>
      <c r="F151" s="4" t="str">
        <f>IFERROR(VLOOKUP(E151,'Code Lists'!$D:$E,2,FALSE),"")</f>
        <v/>
      </c>
      <c r="H151" s="4" t="str">
        <f>IFERROR(VLOOKUP(G151,'Code Lists'!$G:$H,2,FALSE),"")</f>
        <v/>
      </c>
      <c r="J151" s="10"/>
      <c r="M151" s="11"/>
      <c r="Q151" s="7" t="str">
        <f>IF(VedAarnaSKUMaster[[#This Row],[HSN/SAC Code]]=998822,5%,IF(VedAarnaSKUMaster[[#This Row],[HSN/SAC Code]]=998391,18%,IF(VedAarnaSKUMaster[[#This Row],[HSN/SAC Code]]=998723,5%,"")))</f>
        <v/>
      </c>
      <c r="R151" s="5" t="str">
        <f t="shared" si="25"/>
        <v/>
      </c>
      <c r="S151" s="5" t="str">
        <f t="shared" si="26"/>
        <v/>
      </c>
      <c r="T151" s="11"/>
      <c r="U151" s="8" t="str">
        <f>IF(OR(VedAarnaSKUMaster[[#This Row],[Selling Price]]="",VedAarnaSKUMaster[[#This Row],[Selling Price]]=0),"",CEILING(VedAarnaSKUMaster[[#This Row],[Selling Price]]/(1-20%),100)-1)</f>
        <v/>
      </c>
      <c r="V151">
        <f t="shared" si="36"/>
        <v>0</v>
      </c>
      <c r="W151" s="8"/>
      <c r="Z151" s="6" t="str">
        <f t="shared" si="27"/>
        <v/>
      </c>
      <c r="AA151" s="6" t="str">
        <f t="shared" si="28"/>
        <v/>
      </c>
      <c r="AB151" s="6" t="str">
        <f t="shared" si="29"/>
        <v/>
      </c>
      <c r="AC151" s="6" t="str">
        <f t="shared" si="30"/>
        <v/>
      </c>
      <c r="AD151" s="6" t="str">
        <f t="shared" si="31"/>
        <v/>
      </c>
      <c r="AE151" s="6" t="str">
        <f t="shared" si="32"/>
        <v/>
      </c>
      <c r="AF151" s="6" t="str">
        <f t="shared" si="33"/>
        <v/>
      </c>
      <c r="AG151" s="6" t="str">
        <f t="shared" si="34"/>
        <v/>
      </c>
      <c r="AH151" s="6" t="str">
        <f t="shared" si="35"/>
        <v/>
      </c>
    </row>
    <row r="152" spans="1:34">
      <c r="A152" s="9"/>
      <c r="C152" s="4" t="str">
        <f>IFERROR(VLOOKUP(B152,'Code Lists'!$A:$B,2,FALSE),"")</f>
        <v/>
      </c>
      <c r="F152" s="4" t="str">
        <f>IFERROR(VLOOKUP(E152,'Code Lists'!$D:$E,2,FALSE),"")</f>
        <v/>
      </c>
      <c r="H152" s="4" t="str">
        <f>IFERROR(VLOOKUP(G152,'Code Lists'!$G:$H,2,FALSE),"")</f>
        <v/>
      </c>
      <c r="J152" s="10"/>
      <c r="M152" s="11"/>
      <c r="Q152" s="7" t="str">
        <f>IF(VedAarnaSKUMaster[[#This Row],[HSN/SAC Code]]=998822,5%,IF(VedAarnaSKUMaster[[#This Row],[HSN/SAC Code]]=998391,18%,IF(VedAarnaSKUMaster[[#This Row],[HSN/SAC Code]]=998723,5%,"")))</f>
        <v/>
      </c>
      <c r="R152" s="5" t="str">
        <f t="shared" si="25"/>
        <v/>
      </c>
      <c r="S152" s="5" t="str">
        <f t="shared" si="26"/>
        <v/>
      </c>
      <c r="T152" s="11"/>
      <c r="U152" s="8" t="str">
        <f>IF(OR(VedAarnaSKUMaster[[#This Row],[Selling Price]]="",VedAarnaSKUMaster[[#This Row],[Selling Price]]=0),"",CEILING(VedAarnaSKUMaster[[#This Row],[Selling Price]]/(1-20%),100)-1)</f>
        <v/>
      </c>
      <c r="V152">
        <f t="shared" si="36"/>
        <v>0</v>
      </c>
      <c r="W152" s="8"/>
      <c r="Z152" s="6" t="str">
        <f t="shared" si="27"/>
        <v/>
      </c>
      <c r="AA152" s="6" t="str">
        <f t="shared" si="28"/>
        <v/>
      </c>
      <c r="AB152" s="6" t="str">
        <f t="shared" si="29"/>
        <v/>
      </c>
      <c r="AC152" s="6" t="str">
        <f t="shared" si="30"/>
        <v/>
      </c>
      <c r="AD152" s="6" t="str">
        <f t="shared" si="31"/>
        <v/>
      </c>
      <c r="AE152" s="6" t="str">
        <f t="shared" si="32"/>
        <v/>
      </c>
      <c r="AF152" s="6" t="str">
        <f t="shared" si="33"/>
        <v/>
      </c>
      <c r="AG152" s="6" t="str">
        <f t="shared" si="34"/>
        <v/>
      </c>
      <c r="AH152" s="6" t="str">
        <f t="shared" si="35"/>
        <v/>
      </c>
    </row>
    <row r="153" spans="1:34">
      <c r="A153" s="9"/>
      <c r="C153" s="4" t="str">
        <f>IFERROR(VLOOKUP(B153,'Code Lists'!$A:$B,2,FALSE),"")</f>
        <v/>
      </c>
      <c r="F153" s="4" t="str">
        <f>IFERROR(VLOOKUP(E153,'Code Lists'!$D:$E,2,FALSE),"")</f>
        <v/>
      </c>
      <c r="H153" s="4" t="str">
        <f>IFERROR(VLOOKUP(G153,'Code Lists'!$G:$H,2,FALSE),"")</f>
        <v/>
      </c>
      <c r="J153" s="10"/>
      <c r="M153" s="11"/>
      <c r="Q153" s="7" t="str">
        <f>IF(VedAarnaSKUMaster[[#This Row],[HSN/SAC Code]]=998822,5%,IF(VedAarnaSKUMaster[[#This Row],[HSN/SAC Code]]=998391,18%,IF(VedAarnaSKUMaster[[#This Row],[HSN/SAC Code]]=998723,5%,"")))</f>
        <v/>
      </c>
      <c r="R153" s="5" t="str">
        <f t="shared" si="25"/>
        <v/>
      </c>
      <c r="S153" s="5" t="str">
        <f t="shared" si="26"/>
        <v/>
      </c>
      <c r="T153" s="11"/>
      <c r="U153" s="8" t="str">
        <f>IF(OR(VedAarnaSKUMaster[[#This Row],[Selling Price]]="",VedAarnaSKUMaster[[#This Row],[Selling Price]]=0),"",CEILING(VedAarnaSKUMaster[[#This Row],[Selling Price]]/(1-20%),100)-1)</f>
        <v/>
      </c>
      <c r="V153">
        <f t="shared" si="36"/>
        <v>0</v>
      </c>
      <c r="W153" s="8"/>
      <c r="Z153" s="6" t="str">
        <f t="shared" si="27"/>
        <v/>
      </c>
      <c r="AA153" s="6" t="str">
        <f t="shared" si="28"/>
        <v/>
      </c>
      <c r="AB153" s="6" t="str">
        <f t="shared" si="29"/>
        <v/>
      </c>
      <c r="AC153" s="6" t="str">
        <f t="shared" si="30"/>
        <v/>
      </c>
      <c r="AD153" s="6" t="str">
        <f t="shared" si="31"/>
        <v/>
      </c>
      <c r="AE153" s="6" t="str">
        <f t="shared" si="32"/>
        <v/>
      </c>
      <c r="AF153" s="6" t="str">
        <f t="shared" si="33"/>
        <v/>
      </c>
      <c r="AG153" s="6" t="str">
        <f t="shared" si="34"/>
        <v/>
      </c>
      <c r="AH153" s="6" t="str">
        <f t="shared" si="35"/>
        <v/>
      </c>
    </row>
    <row r="154" spans="1:34">
      <c r="A154" s="9"/>
      <c r="C154" s="4" t="str">
        <f>IFERROR(VLOOKUP(B154,'Code Lists'!$A:$B,2,FALSE),"")</f>
        <v/>
      </c>
      <c r="F154" s="4" t="str">
        <f>IFERROR(VLOOKUP(E154,'Code Lists'!$D:$E,2,FALSE),"")</f>
        <v/>
      </c>
      <c r="H154" s="4" t="str">
        <f>IFERROR(VLOOKUP(G154,'Code Lists'!$G:$H,2,FALSE),"")</f>
        <v/>
      </c>
      <c r="J154" s="10"/>
      <c r="M154" s="11"/>
      <c r="Q154" s="7" t="str">
        <f>IF(VedAarnaSKUMaster[[#This Row],[HSN/SAC Code]]=998822,5%,IF(VedAarnaSKUMaster[[#This Row],[HSN/SAC Code]]=998391,18%,IF(VedAarnaSKUMaster[[#This Row],[HSN/SAC Code]]=998723,5%,"")))</f>
        <v/>
      </c>
      <c r="R154" s="5" t="str">
        <f t="shared" si="25"/>
        <v/>
      </c>
      <c r="S154" s="5" t="str">
        <f t="shared" si="26"/>
        <v/>
      </c>
      <c r="T154" s="11"/>
      <c r="U154" s="8" t="str">
        <f>IF(OR(VedAarnaSKUMaster[[#This Row],[Selling Price]]="",VedAarnaSKUMaster[[#This Row],[Selling Price]]=0),"",CEILING(VedAarnaSKUMaster[[#This Row],[Selling Price]]/(1-20%),100)-1)</f>
        <v/>
      </c>
      <c r="V154">
        <f t="shared" si="36"/>
        <v>0</v>
      </c>
      <c r="W154" s="8"/>
      <c r="Z154" s="6" t="str">
        <f t="shared" si="27"/>
        <v/>
      </c>
      <c r="AA154" s="6" t="str">
        <f t="shared" si="28"/>
        <v/>
      </c>
      <c r="AB154" s="6" t="str">
        <f t="shared" si="29"/>
        <v/>
      </c>
      <c r="AC154" s="6" t="str">
        <f t="shared" si="30"/>
        <v/>
      </c>
      <c r="AD154" s="6" t="str">
        <f t="shared" si="31"/>
        <v/>
      </c>
      <c r="AE154" s="6" t="str">
        <f t="shared" si="32"/>
        <v/>
      </c>
      <c r="AF154" s="6" t="str">
        <f t="shared" si="33"/>
        <v/>
      </c>
      <c r="AG154" s="6" t="str">
        <f t="shared" si="34"/>
        <v/>
      </c>
      <c r="AH154" s="6" t="str">
        <f t="shared" si="35"/>
        <v/>
      </c>
    </row>
    <row r="155" spans="1:34">
      <c r="A155" s="9"/>
      <c r="C155" s="4" t="str">
        <f>IFERROR(VLOOKUP(B155,'Code Lists'!$A:$B,2,FALSE),"")</f>
        <v/>
      </c>
      <c r="F155" s="4" t="str">
        <f>IFERROR(VLOOKUP(E155,'Code Lists'!$D:$E,2,FALSE),"")</f>
        <v/>
      </c>
      <c r="H155" s="4" t="str">
        <f>IFERROR(VLOOKUP(G155,'Code Lists'!$G:$H,2,FALSE),"")</f>
        <v/>
      </c>
      <c r="J155" s="10"/>
      <c r="M155" s="11"/>
      <c r="Q155" s="7" t="str">
        <f>IF(VedAarnaSKUMaster[[#This Row],[HSN/SAC Code]]=998822,5%,IF(VedAarnaSKUMaster[[#This Row],[HSN/SAC Code]]=998391,18%,IF(VedAarnaSKUMaster[[#This Row],[HSN/SAC Code]]=998723,5%,"")))</f>
        <v/>
      </c>
      <c r="R155" s="5" t="str">
        <f t="shared" si="25"/>
        <v/>
      </c>
      <c r="S155" s="5" t="str">
        <f t="shared" si="26"/>
        <v/>
      </c>
      <c r="T155" s="11"/>
      <c r="U155" s="8" t="str">
        <f>IF(OR(VedAarnaSKUMaster[[#This Row],[Selling Price]]="",VedAarnaSKUMaster[[#This Row],[Selling Price]]=0),"",CEILING(VedAarnaSKUMaster[[#This Row],[Selling Price]]/(1-20%),100)-1)</f>
        <v/>
      </c>
      <c r="V155">
        <f t="shared" si="36"/>
        <v>0</v>
      </c>
      <c r="W155" s="8"/>
      <c r="Z155" s="6" t="str">
        <f t="shared" si="27"/>
        <v/>
      </c>
      <c r="AA155" s="6" t="str">
        <f t="shared" si="28"/>
        <v/>
      </c>
      <c r="AB155" s="6" t="str">
        <f t="shared" si="29"/>
        <v/>
      </c>
      <c r="AC155" s="6" t="str">
        <f t="shared" si="30"/>
        <v/>
      </c>
      <c r="AD155" s="6" t="str">
        <f t="shared" si="31"/>
        <v/>
      </c>
      <c r="AE155" s="6" t="str">
        <f t="shared" si="32"/>
        <v/>
      </c>
      <c r="AF155" s="6" t="str">
        <f t="shared" si="33"/>
        <v/>
      </c>
      <c r="AG155" s="6" t="str">
        <f t="shared" si="34"/>
        <v/>
      </c>
      <c r="AH155" s="6" t="str">
        <f t="shared" si="35"/>
        <v/>
      </c>
    </row>
    <row r="156" spans="1:34">
      <c r="A156" s="9"/>
      <c r="C156" s="4" t="str">
        <f>IFERROR(VLOOKUP(B156,'Code Lists'!$A:$B,2,FALSE),"")</f>
        <v/>
      </c>
      <c r="F156" s="4" t="str">
        <f>IFERROR(VLOOKUP(E156,'Code Lists'!$D:$E,2,FALSE),"")</f>
        <v/>
      </c>
      <c r="H156" s="4" t="str">
        <f>IFERROR(VLOOKUP(G156,'Code Lists'!$G:$H,2,FALSE),"")</f>
        <v/>
      </c>
      <c r="J156" s="10"/>
      <c r="M156" s="11"/>
      <c r="Q156" s="7" t="str">
        <f>IF(VedAarnaSKUMaster[[#This Row],[HSN/SAC Code]]=998822,5%,IF(VedAarnaSKUMaster[[#This Row],[HSN/SAC Code]]=998391,18%,IF(VedAarnaSKUMaster[[#This Row],[HSN/SAC Code]]=998723,5%,"")))</f>
        <v/>
      </c>
      <c r="R156" s="5" t="str">
        <f t="shared" si="25"/>
        <v/>
      </c>
      <c r="S156" s="5" t="str">
        <f t="shared" si="26"/>
        <v/>
      </c>
      <c r="T156" s="11"/>
      <c r="U156" s="8" t="str">
        <f>IF(OR(VedAarnaSKUMaster[[#This Row],[Selling Price]]="",VedAarnaSKUMaster[[#This Row],[Selling Price]]=0),"",CEILING(VedAarnaSKUMaster[[#This Row],[Selling Price]]/(1-20%),100)-1)</f>
        <v/>
      </c>
      <c r="V156">
        <f t="shared" si="36"/>
        <v>0</v>
      </c>
      <c r="W156" s="8"/>
      <c r="Z156" s="6" t="str">
        <f t="shared" si="27"/>
        <v/>
      </c>
      <c r="AA156" s="6" t="str">
        <f t="shared" si="28"/>
        <v/>
      </c>
      <c r="AB156" s="6" t="str">
        <f t="shared" si="29"/>
        <v/>
      </c>
      <c r="AC156" s="6" t="str">
        <f t="shared" si="30"/>
        <v/>
      </c>
      <c r="AD156" s="6" t="str">
        <f t="shared" si="31"/>
        <v/>
      </c>
      <c r="AE156" s="6" t="str">
        <f t="shared" si="32"/>
        <v/>
      </c>
      <c r="AF156" s="6" t="str">
        <f t="shared" si="33"/>
        <v/>
      </c>
      <c r="AG156" s="6" t="str">
        <f t="shared" si="34"/>
        <v/>
      </c>
      <c r="AH156" s="6" t="str">
        <f t="shared" si="35"/>
        <v/>
      </c>
    </row>
    <row r="157" spans="1:34">
      <c r="A157" s="9"/>
      <c r="C157" s="4" t="str">
        <f>IFERROR(VLOOKUP(B157,'Code Lists'!$A:$B,2,FALSE),"")</f>
        <v/>
      </c>
      <c r="F157" s="4" t="str">
        <f>IFERROR(VLOOKUP(E157,'Code Lists'!$D:$E,2,FALSE),"")</f>
        <v/>
      </c>
      <c r="H157" s="4" t="str">
        <f>IFERROR(VLOOKUP(G157,'Code Lists'!$G:$H,2,FALSE),"")</f>
        <v/>
      </c>
      <c r="J157" s="10"/>
      <c r="M157" s="11"/>
      <c r="Q157" s="7" t="str">
        <f>IF(VedAarnaSKUMaster[[#This Row],[HSN/SAC Code]]=998822,5%,IF(VedAarnaSKUMaster[[#This Row],[HSN/SAC Code]]=998391,18%,IF(VedAarnaSKUMaster[[#This Row],[HSN/SAC Code]]=998723,5%,"")))</f>
        <v/>
      </c>
      <c r="R157" s="5" t="str">
        <f t="shared" si="25"/>
        <v/>
      </c>
      <c r="S157" s="5" t="str">
        <f t="shared" si="26"/>
        <v/>
      </c>
      <c r="T157" s="11"/>
      <c r="U157" s="8" t="str">
        <f>IF(OR(VedAarnaSKUMaster[[#This Row],[Selling Price]]="",VedAarnaSKUMaster[[#This Row],[Selling Price]]=0),"",CEILING(VedAarnaSKUMaster[[#This Row],[Selling Price]]/(1-20%),100)-1)</f>
        <v/>
      </c>
      <c r="V157">
        <f t="shared" si="36"/>
        <v>0</v>
      </c>
      <c r="W157" s="8"/>
      <c r="Z157" s="6" t="str">
        <f t="shared" si="27"/>
        <v/>
      </c>
      <c r="AA157" s="6" t="str">
        <f t="shared" si="28"/>
        <v/>
      </c>
      <c r="AB157" s="6" t="str">
        <f t="shared" si="29"/>
        <v/>
      </c>
      <c r="AC157" s="6" t="str">
        <f t="shared" si="30"/>
        <v/>
      </c>
      <c r="AD157" s="6" t="str">
        <f t="shared" si="31"/>
        <v/>
      </c>
      <c r="AE157" s="6" t="str">
        <f t="shared" si="32"/>
        <v/>
      </c>
      <c r="AF157" s="6" t="str">
        <f t="shared" si="33"/>
        <v/>
      </c>
      <c r="AG157" s="6" t="str">
        <f t="shared" si="34"/>
        <v/>
      </c>
      <c r="AH157" s="6" t="str">
        <f t="shared" si="35"/>
        <v/>
      </c>
    </row>
    <row r="158" spans="1:34">
      <c r="A158" s="9"/>
      <c r="C158" s="4" t="str">
        <f>IFERROR(VLOOKUP(B158,'Code Lists'!$A:$B,2,FALSE),"")</f>
        <v/>
      </c>
      <c r="F158" s="4" t="str">
        <f>IFERROR(VLOOKUP(E158,'Code Lists'!$D:$E,2,FALSE),"")</f>
        <v/>
      </c>
      <c r="H158" s="4" t="str">
        <f>IFERROR(VLOOKUP(G158,'Code Lists'!$G:$H,2,FALSE),"")</f>
        <v/>
      </c>
      <c r="J158" s="10"/>
      <c r="M158" s="11"/>
      <c r="Q158" s="7" t="str">
        <f>IF(VedAarnaSKUMaster[[#This Row],[HSN/SAC Code]]=998822,5%,IF(VedAarnaSKUMaster[[#This Row],[HSN/SAC Code]]=998391,18%,IF(VedAarnaSKUMaster[[#This Row],[HSN/SAC Code]]=998723,5%,"")))</f>
        <v/>
      </c>
      <c r="R158" s="5" t="str">
        <f t="shared" si="25"/>
        <v/>
      </c>
      <c r="S158" s="5" t="str">
        <f t="shared" si="26"/>
        <v/>
      </c>
      <c r="T158" s="11"/>
      <c r="U158" s="8" t="str">
        <f>IF(OR(VedAarnaSKUMaster[[#This Row],[Selling Price]]="",VedAarnaSKUMaster[[#This Row],[Selling Price]]=0),"",CEILING(VedAarnaSKUMaster[[#This Row],[Selling Price]]/(1-20%),100)-1)</f>
        <v/>
      </c>
      <c r="V158">
        <f t="shared" si="36"/>
        <v>0</v>
      </c>
      <c r="W158" s="8"/>
      <c r="Z158" s="6" t="str">
        <f t="shared" si="27"/>
        <v/>
      </c>
      <c r="AA158" s="6" t="str">
        <f t="shared" si="28"/>
        <v/>
      </c>
      <c r="AB158" s="6" t="str">
        <f t="shared" si="29"/>
        <v/>
      </c>
      <c r="AC158" s="6" t="str">
        <f t="shared" si="30"/>
        <v/>
      </c>
      <c r="AD158" s="6" t="str">
        <f t="shared" si="31"/>
        <v/>
      </c>
      <c r="AE158" s="6" t="str">
        <f t="shared" si="32"/>
        <v/>
      </c>
      <c r="AF158" s="6" t="str">
        <f t="shared" si="33"/>
        <v/>
      </c>
      <c r="AG158" s="6" t="str">
        <f t="shared" si="34"/>
        <v/>
      </c>
      <c r="AH158" s="6" t="str">
        <f t="shared" si="35"/>
        <v/>
      </c>
    </row>
    <row r="159" spans="1:34">
      <c r="A159" s="9"/>
      <c r="C159" s="4" t="str">
        <f>IFERROR(VLOOKUP(B159,'Code Lists'!$A:$B,2,FALSE),"")</f>
        <v/>
      </c>
      <c r="F159" s="4" t="str">
        <f>IFERROR(VLOOKUP(E159,'Code Lists'!$D:$E,2,FALSE),"")</f>
        <v/>
      </c>
      <c r="H159" s="4" t="str">
        <f>IFERROR(VLOOKUP(G159,'Code Lists'!$G:$H,2,FALSE),"")</f>
        <v/>
      </c>
      <c r="J159" s="10"/>
      <c r="M159" s="11"/>
      <c r="Q159" s="7" t="str">
        <f>IF(VedAarnaSKUMaster[[#This Row],[HSN/SAC Code]]=998822,5%,IF(VedAarnaSKUMaster[[#This Row],[HSN/SAC Code]]=998391,18%,IF(VedAarnaSKUMaster[[#This Row],[HSN/SAC Code]]=998723,5%,"")))</f>
        <v/>
      </c>
      <c r="R159" s="5" t="str">
        <f t="shared" si="25"/>
        <v/>
      </c>
      <c r="S159" s="5" t="str">
        <f t="shared" si="26"/>
        <v/>
      </c>
      <c r="T159" s="11"/>
      <c r="U159" s="8" t="str">
        <f>IF(OR(VedAarnaSKUMaster[[#This Row],[Selling Price]]="",VedAarnaSKUMaster[[#This Row],[Selling Price]]=0),"",CEILING(VedAarnaSKUMaster[[#This Row],[Selling Price]]/(1-20%),100)-1)</f>
        <v/>
      </c>
      <c r="V159">
        <f t="shared" si="36"/>
        <v>0</v>
      </c>
      <c r="W159" s="8"/>
      <c r="Z159" s="6" t="str">
        <f t="shared" si="27"/>
        <v/>
      </c>
      <c r="AA159" s="6" t="str">
        <f t="shared" si="28"/>
        <v/>
      </c>
      <c r="AB159" s="6" t="str">
        <f t="shared" si="29"/>
        <v/>
      </c>
      <c r="AC159" s="6" t="str">
        <f t="shared" si="30"/>
        <v/>
      </c>
      <c r="AD159" s="6" t="str">
        <f t="shared" si="31"/>
        <v/>
      </c>
      <c r="AE159" s="6" t="str">
        <f t="shared" si="32"/>
        <v/>
      </c>
      <c r="AF159" s="6" t="str">
        <f t="shared" si="33"/>
        <v/>
      </c>
      <c r="AG159" s="6" t="str">
        <f t="shared" si="34"/>
        <v/>
      </c>
      <c r="AH159" s="6" t="str">
        <f t="shared" si="35"/>
        <v/>
      </c>
    </row>
    <row r="160" spans="1:34">
      <c r="A160" s="9"/>
      <c r="C160" s="4" t="str">
        <f>IFERROR(VLOOKUP(B160,'Code Lists'!$A:$B,2,FALSE),"")</f>
        <v/>
      </c>
      <c r="F160" s="4" t="str">
        <f>IFERROR(VLOOKUP(E160,'Code Lists'!$D:$E,2,FALSE),"")</f>
        <v/>
      </c>
      <c r="H160" s="4" t="str">
        <f>IFERROR(VLOOKUP(G160,'Code Lists'!$G:$H,2,FALSE),"")</f>
        <v/>
      </c>
      <c r="J160" s="10"/>
      <c r="M160" s="11"/>
      <c r="Q160" s="7" t="str">
        <f>IF(VedAarnaSKUMaster[[#This Row],[HSN/SAC Code]]=998822,5%,IF(VedAarnaSKUMaster[[#This Row],[HSN/SAC Code]]=998391,18%,IF(VedAarnaSKUMaster[[#This Row],[HSN/SAC Code]]=998723,5%,"")))</f>
        <v/>
      </c>
      <c r="R160" s="5" t="str">
        <f t="shared" si="25"/>
        <v/>
      </c>
      <c r="S160" s="5" t="str">
        <f t="shared" si="26"/>
        <v/>
      </c>
      <c r="T160" s="11"/>
      <c r="U160" s="8" t="str">
        <f>IF(OR(VedAarnaSKUMaster[[#This Row],[Selling Price]]="",VedAarnaSKUMaster[[#This Row],[Selling Price]]=0),"",CEILING(VedAarnaSKUMaster[[#This Row],[Selling Price]]/(1-20%),100)-1)</f>
        <v/>
      </c>
      <c r="V160">
        <f t="shared" si="36"/>
        <v>0</v>
      </c>
      <c r="W160" s="8"/>
      <c r="Z160" s="6" t="str">
        <f t="shared" si="27"/>
        <v/>
      </c>
      <c r="AA160" s="6" t="str">
        <f t="shared" si="28"/>
        <v/>
      </c>
      <c r="AB160" s="6" t="str">
        <f t="shared" si="29"/>
        <v/>
      </c>
      <c r="AC160" s="6" t="str">
        <f t="shared" si="30"/>
        <v/>
      </c>
      <c r="AD160" s="6" t="str">
        <f t="shared" si="31"/>
        <v/>
      </c>
      <c r="AE160" s="6" t="str">
        <f t="shared" si="32"/>
        <v/>
      </c>
      <c r="AF160" s="6" t="str">
        <f t="shared" si="33"/>
        <v/>
      </c>
      <c r="AG160" s="6" t="str">
        <f t="shared" si="34"/>
        <v/>
      </c>
      <c r="AH160" s="6" t="str">
        <f t="shared" si="35"/>
        <v/>
      </c>
    </row>
    <row r="161" spans="1:34">
      <c r="A161" s="9"/>
      <c r="C161" s="4" t="str">
        <f>IFERROR(VLOOKUP(B161,'Code Lists'!$A:$B,2,FALSE),"")</f>
        <v/>
      </c>
      <c r="F161" s="4" t="str">
        <f>IFERROR(VLOOKUP(E161,'Code Lists'!$D:$E,2,FALSE),"")</f>
        <v/>
      </c>
      <c r="H161" s="4" t="str">
        <f>IFERROR(VLOOKUP(G161,'Code Lists'!$G:$H,2,FALSE),"")</f>
        <v/>
      </c>
      <c r="J161" s="10"/>
      <c r="M161" s="11"/>
      <c r="Q161" s="7" t="str">
        <f>IF(VedAarnaSKUMaster[[#This Row],[HSN/SAC Code]]=998822,5%,IF(VedAarnaSKUMaster[[#This Row],[HSN/SAC Code]]=998391,18%,IF(VedAarnaSKUMaster[[#This Row],[HSN/SAC Code]]=998723,5%,"")))</f>
        <v/>
      </c>
      <c r="R161" s="5" t="str">
        <f t="shared" si="25"/>
        <v/>
      </c>
      <c r="S161" s="5" t="str">
        <f t="shared" si="26"/>
        <v/>
      </c>
      <c r="T161" s="11"/>
      <c r="U161" s="8" t="str">
        <f>IF(OR(VedAarnaSKUMaster[[#This Row],[Selling Price]]="",VedAarnaSKUMaster[[#This Row],[Selling Price]]=0),"",CEILING(VedAarnaSKUMaster[[#This Row],[Selling Price]]/(1-20%),100)-1)</f>
        <v/>
      </c>
      <c r="V161">
        <f t="shared" si="36"/>
        <v>0</v>
      </c>
      <c r="W161" s="8"/>
      <c r="Z161" s="6" t="str">
        <f t="shared" si="27"/>
        <v/>
      </c>
      <c r="AA161" s="6" t="str">
        <f t="shared" si="28"/>
        <v/>
      </c>
      <c r="AB161" s="6" t="str">
        <f t="shared" si="29"/>
        <v/>
      </c>
      <c r="AC161" s="6" t="str">
        <f t="shared" si="30"/>
        <v/>
      </c>
      <c r="AD161" s="6" t="str">
        <f t="shared" si="31"/>
        <v/>
      </c>
      <c r="AE161" s="6" t="str">
        <f t="shared" si="32"/>
        <v/>
      </c>
      <c r="AF161" s="6" t="str">
        <f t="shared" si="33"/>
        <v/>
      </c>
      <c r="AG161" s="6" t="str">
        <f t="shared" si="34"/>
        <v/>
      </c>
      <c r="AH161" s="6" t="str">
        <f t="shared" si="35"/>
        <v/>
      </c>
    </row>
    <row r="162" spans="1:34">
      <c r="A162" s="9"/>
      <c r="C162" s="4" t="str">
        <f>IFERROR(VLOOKUP(B162,'Code Lists'!$A:$B,2,FALSE),"")</f>
        <v/>
      </c>
      <c r="F162" s="4" t="str">
        <f>IFERROR(VLOOKUP(E162,'Code Lists'!$D:$E,2,FALSE),"")</f>
        <v/>
      </c>
      <c r="H162" s="4" t="str">
        <f>IFERROR(VLOOKUP(G162,'Code Lists'!$G:$H,2,FALSE),"")</f>
        <v/>
      </c>
      <c r="J162" s="10"/>
      <c r="M162" s="11"/>
      <c r="Q162" s="7" t="str">
        <f>IF(VedAarnaSKUMaster[[#This Row],[HSN/SAC Code]]=998822,5%,IF(VedAarnaSKUMaster[[#This Row],[HSN/SAC Code]]=998391,18%,IF(VedAarnaSKUMaster[[#This Row],[HSN/SAC Code]]=998723,5%,"")))</f>
        <v/>
      </c>
      <c r="R162" s="5" t="str">
        <f t="shared" si="25"/>
        <v/>
      </c>
      <c r="S162" s="5" t="str">
        <f t="shared" si="26"/>
        <v/>
      </c>
      <c r="T162" s="11"/>
      <c r="U162" s="8" t="str">
        <f>IF(OR(VedAarnaSKUMaster[[#This Row],[Selling Price]]="",VedAarnaSKUMaster[[#This Row],[Selling Price]]=0),"",CEILING(VedAarnaSKUMaster[[#This Row],[Selling Price]]/(1-20%),100)-1)</f>
        <v/>
      </c>
      <c r="V162">
        <f t="shared" si="36"/>
        <v>0</v>
      </c>
      <c r="W162" s="8"/>
      <c r="Z162" s="6" t="str">
        <f t="shared" si="27"/>
        <v/>
      </c>
      <c r="AA162" s="6" t="str">
        <f t="shared" si="28"/>
        <v/>
      </c>
      <c r="AB162" s="6" t="str">
        <f t="shared" si="29"/>
        <v/>
      </c>
      <c r="AC162" s="6" t="str">
        <f t="shared" si="30"/>
        <v/>
      </c>
      <c r="AD162" s="6" t="str">
        <f t="shared" si="31"/>
        <v/>
      </c>
      <c r="AE162" s="6" t="str">
        <f t="shared" si="32"/>
        <v/>
      </c>
      <c r="AF162" s="6" t="str">
        <f t="shared" si="33"/>
        <v/>
      </c>
      <c r="AG162" s="6" t="str">
        <f t="shared" si="34"/>
        <v/>
      </c>
      <c r="AH162" s="6" t="str">
        <f t="shared" si="35"/>
        <v/>
      </c>
    </row>
    <row r="163" spans="1:34">
      <c r="A163" s="9"/>
      <c r="C163" s="4" t="str">
        <f>IFERROR(VLOOKUP(B163,'Code Lists'!$A:$B,2,FALSE),"")</f>
        <v/>
      </c>
      <c r="F163" s="4" t="str">
        <f>IFERROR(VLOOKUP(E163,'Code Lists'!$D:$E,2,FALSE),"")</f>
        <v/>
      </c>
      <c r="H163" s="4" t="str">
        <f>IFERROR(VLOOKUP(G163,'Code Lists'!$G:$H,2,FALSE),"")</f>
        <v/>
      </c>
      <c r="J163" s="10"/>
      <c r="M163" s="11"/>
      <c r="Q163" s="7" t="str">
        <f>IF(VedAarnaSKUMaster[[#This Row],[HSN/SAC Code]]=998822,5%,IF(VedAarnaSKUMaster[[#This Row],[HSN/SAC Code]]=998391,18%,IF(VedAarnaSKUMaster[[#This Row],[HSN/SAC Code]]=998723,5%,"")))</f>
        <v/>
      </c>
      <c r="R163" s="5" t="str">
        <f t="shared" si="25"/>
        <v/>
      </c>
      <c r="S163" s="5" t="str">
        <f t="shared" si="26"/>
        <v/>
      </c>
      <c r="T163" s="11"/>
      <c r="U163" s="8" t="str">
        <f>IF(OR(VedAarnaSKUMaster[[#This Row],[Selling Price]]="",VedAarnaSKUMaster[[#This Row],[Selling Price]]=0),"",CEILING(VedAarnaSKUMaster[[#This Row],[Selling Price]]/(1-20%),100)-1)</f>
        <v/>
      </c>
      <c r="V163">
        <f t="shared" si="36"/>
        <v>0</v>
      </c>
      <c r="W163" s="8"/>
      <c r="Z163" s="6" t="str">
        <f t="shared" si="27"/>
        <v/>
      </c>
      <c r="AA163" s="6" t="str">
        <f t="shared" si="28"/>
        <v/>
      </c>
      <c r="AB163" s="6" t="str">
        <f t="shared" si="29"/>
        <v/>
      </c>
      <c r="AC163" s="6" t="str">
        <f t="shared" si="30"/>
        <v/>
      </c>
      <c r="AD163" s="6" t="str">
        <f t="shared" si="31"/>
        <v/>
      </c>
      <c r="AE163" s="6" t="str">
        <f t="shared" si="32"/>
        <v/>
      </c>
      <c r="AF163" s="6" t="str">
        <f t="shared" si="33"/>
        <v/>
      </c>
      <c r="AG163" s="6" t="str">
        <f t="shared" si="34"/>
        <v/>
      </c>
      <c r="AH163" s="6" t="str">
        <f t="shared" si="35"/>
        <v/>
      </c>
    </row>
    <row r="164" spans="1:34">
      <c r="A164" s="9"/>
      <c r="C164" s="4" t="str">
        <f>IFERROR(VLOOKUP(B164,'Code Lists'!$A:$B,2,FALSE),"")</f>
        <v/>
      </c>
      <c r="F164" s="4" t="str">
        <f>IFERROR(VLOOKUP(E164,'Code Lists'!$D:$E,2,FALSE),"")</f>
        <v/>
      </c>
      <c r="H164" s="4" t="str">
        <f>IFERROR(VLOOKUP(G164,'Code Lists'!$G:$H,2,FALSE),"")</f>
        <v/>
      </c>
      <c r="J164" s="10"/>
      <c r="M164" s="11"/>
      <c r="Q164" s="7" t="str">
        <f>IF(VedAarnaSKUMaster[[#This Row],[HSN/SAC Code]]=998822,5%,IF(VedAarnaSKUMaster[[#This Row],[HSN/SAC Code]]=998391,18%,IF(VedAarnaSKUMaster[[#This Row],[HSN/SAC Code]]=998723,5%,"")))</f>
        <v/>
      </c>
      <c r="R164" s="5" t="str">
        <f t="shared" si="25"/>
        <v/>
      </c>
      <c r="S164" s="5" t="str">
        <f t="shared" si="26"/>
        <v/>
      </c>
      <c r="T164" s="11"/>
      <c r="U164" s="8" t="str">
        <f>IF(OR(VedAarnaSKUMaster[[#This Row],[Selling Price]]="",VedAarnaSKUMaster[[#This Row],[Selling Price]]=0),"",CEILING(VedAarnaSKUMaster[[#This Row],[Selling Price]]/(1-20%),100)-1)</f>
        <v/>
      </c>
      <c r="V164">
        <f t="shared" si="36"/>
        <v>0</v>
      </c>
      <c r="W164" s="8"/>
      <c r="Z164" s="6" t="str">
        <f t="shared" si="27"/>
        <v/>
      </c>
      <c r="AA164" s="6" t="str">
        <f t="shared" si="28"/>
        <v/>
      </c>
      <c r="AB164" s="6" t="str">
        <f t="shared" si="29"/>
        <v/>
      </c>
      <c r="AC164" s="6" t="str">
        <f t="shared" si="30"/>
        <v/>
      </c>
      <c r="AD164" s="6" t="str">
        <f t="shared" si="31"/>
        <v/>
      </c>
      <c r="AE164" s="6" t="str">
        <f t="shared" si="32"/>
        <v/>
      </c>
      <c r="AF164" s="6" t="str">
        <f t="shared" si="33"/>
        <v/>
      </c>
      <c r="AG164" s="6" t="str">
        <f t="shared" si="34"/>
        <v/>
      </c>
      <c r="AH164" s="6" t="str">
        <f t="shared" si="35"/>
        <v/>
      </c>
    </row>
    <row r="165" spans="1:34">
      <c r="A165" s="9"/>
      <c r="C165" s="4" t="str">
        <f>IFERROR(VLOOKUP(B165,'Code Lists'!$A:$B,2,FALSE),"")</f>
        <v/>
      </c>
      <c r="F165" s="4" t="str">
        <f>IFERROR(VLOOKUP(E165,'Code Lists'!$D:$E,2,FALSE),"")</f>
        <v/>
      </c>
      <c r="H165" s="4" t="str">
        <f>IFERROR(VLOOKUP(G165,'Code Lists'!$G:$H,2,FALSE),"")</f>
        <v/>
      </c>
      <c r="J165" s="10"/>
      <c r="M165" s="11"/>
      <c r="Q165" s="7" t="str">
        <f>IF(VedAarnaSKUMaster[[#This Row],[HSN/SAC Code]]=998822,5%,IF(VedAarnaSKUMaster[[#This Row],[HSN/SAC Code]]=998391,18%,IF(VedAarnaSKUMaster[[#This Row],[HSN/SAC Code]]=998723,5%,"")))</f>
        <v/>
      </c>
      <c r="R165" s="5" t="str">
        <f t="shared" si="25"/>
        <v/>
      </c>
      <c r="S165" s="5" t="str">
        <f t="shared" si="26"/>
        <v/>
      </c>
      <c r="T165" s="11"/>
      <c r="U165" s="8" t="str">
        <f>IF(OR(VedAarnaSKUMaster[[#This Row],[Selling Price]]="",VedAarnaSKUMaster[[#This Row],[Selling Price]]=0),"",CEILING(VedAarnaSKUMaster[[#This Row],[Selling Price]]/(1-20%),100)-1)</f>
        <v/>
      </c>
      <c r="V165">
        <f t="shared" si="36"/>
        <v>0</v>
      </c>
      <c r="W165" s="8"/>
      <c r="Z165" s="6" t="str">
        <f t="shared" si="27"/>
        <v/>
      </c>
      <c r="AA165" s="6" t="str">
        <f t="shared" si="28"/>
        <v/>
      </c>
      <c r="AB165" s="6" t="str">
        <f t="shared" si="29"/>
        <v/>
      </c>
      <c r="AC165" s="6" t="str">
        <f t="shared" si="30"/>
        <v/>
      </c>
      <c r="AD165" s="6" t="str">
        <f t="shared" si="31"/>
        <v/>
      </c>
      <c r="AE165" s="6" t="str">
        <f t="shared" si="32"/>
        <v/>
      </c>
      <c r="AF165" s="6" t="str">
        <f t="shared" si="33"/>
        <v/>
      </c>
      <c r="AG165" s="6" t="str">
        <f t="shared" si="34"/>
        <v/>
      </c>
      <c r="AH165" s="6" t="str">
        <f t="shared" si="35"/>
        <v/>
      </c>
    </row>
    <row r="166" spans="1:34">
      <c r="A166" s="9"/>
      <c r="C166" s="4" t="str">
        <f>IFERROR(VLOOKUP(B166,'Code Lists'!$A:$B,2,FALSE),"")</f>
        <v/>
      </c>
      <c r="F166" s="4" t="str">
        <f>IFERROR(VLOOKUP(E166,'Code Lists'!$D:$E,2,FALSE),"")</f>
        <v/>
      </c>
      <c r="H166" s="4" t="str">
        <f>IFERROR(VLOOKUP(G166,'Code Lists'!$G:$H,2,FALSE),"")</f>
        <v/>
      </c>
      <c r="J166" s="10"/>
      <c r="M166" s="11"/>
      <c r="Q166" s="7" t="str">
        <f>IF(VedAarnaSKUMaster[[#This Row],[HSN/SAC Code]]=998822,5%,IF(VedAarnaSKUMaster[[#This Row],[HSN/SAC Code]]=998391,18%,IF(VedAarnaSKUMaster[[#This Row],[HSN/SAC Code]]=998723,5%,"")))</f>
        <v/>
      </c>
      <c r="R166" s="5" t="str">
        <f t="shared" si="25"/>
        <v/>
      </c>
      <c r="S166" s="5" t="str">
        <f t="shared" si="26"/>
        <v/>
      </c>
      <c r="T166" s="11"/>
      <c r="U166" s="8" t="str">
        <f>IF(OR(VedAarnaSKUMaster[[#This Row],[Selling Price]]="",VedAarnaSKUMaster[[#This Row],[Selling Price]]=0),"",CEILING(VedAarnaSKUMaster[[#This Row],[Selling Price]]/(1-20%),100)-1)</f>
        <v/>
      </c>
      <c r="V166">
        <f t="shared" si="36"/>
        <v>0</v>
      </c>
      <c r="W166" s="8"/>
      <c r="Z166" s="6" t="str">
        <f t="shared" si="27"/>
        <v/>
      </c>
      <c r="AA166" s="6" t="str">
        <f t="shared" si="28"/>
        <v/>
      </c>
      <c r="AB166" s="6" t="str">
        <f t="shared" si="29"/>
        <v/>
      </c>
      <c r="AC166" s="6" t="str">
        <f t="shared" si="30"/>
        <v/>
      </c>
      <c r="AD166" s="6" t="str">
        <f t="shared" si="31"/>
        <v/>
      </c>
      <c r="AE166" s="6" t="str">
        <f t="shared" si="32"/>
        <v/>
      </c>
      <c r="AF166" s="6" t="str">
        <f t="shared" si="33"/>
        <v/>
      </c>
      <c r="AG166" s="6" t="str">
        <f t="shared" si="34"/>
        <v/>
      </c>
      <c r="AH166" s="6" t="str">
        <f t="shared" si="35"/>
        <v/>
      </c>
    </row>
    <row r="167" spans="1:34">
      <c r="A167" s="9"/>
      <c r="C167" s="4" t="str">
        <f>IFERROR(VLOOKUP(B167,'Code Lists'!$A:$B,2,FALSE),"")</f>
        <v/>
      </c>
      <c r="F167" s="4" t="str">
        <f>IFERROR(VLOOKUP(E167,'Code Lists'!$D:$E,2,FALSE),"")</f>
        <v/>
      </c>
      <c r="H167" s="4" t="str">
        <f>IFERROR(VLOOKUP(G167,'Code Lists'!$G:$H,2,FALSE),"")</f>
        <v/>
      </c>
      <c r="J167" s="10"/>
      <c r="M167" s="11"/>
      <c r="Q167" s="7" t="str">
        <f>IF(VedAarnaSKUMaster[[#This Row],[HSN/SAC Code]]=998822,5%,IF(VedAarnaSKUMaster[[#This Row],[HSN/SAC Code]]=998391,18%,IF(VedAarnaSKUMaster[[#This Row],[HSN/SAC Code]]=998723,5%,"")))</f>
        <v/>
      </c>
      <c r="R167" s="5" t="str">
        <f t="shared" si="25"/>
        <v/>
      </c>
      <c r="S167" s="5" t="str">
        <f t="shared" si="26"/>
        <v/>
      </c>
      <c r="T167" s="11"/>
      <c r="U167" s="8" t="str">
        <f>IF(OR(VedAarnaSKUMaster[[#This Row],[Selling Price]]="",VedAarnaSKUMaster[[#This Row],[Selling Price]]=0),"",CEILING(VedAarnaSKUMaster[[#This Row],[Selling Price]]/(1-20%),100)-1)</f>
        <v/>
      </c>
      <c r="V167">
        <f t="shared" si="36"/>
        <v>0</v>
      </c>
      <c r="W167" s="8"/>
      <c r="Z167" s="6" t="str">
        <f t="shared" si="27"/>
        <v/>
      </c>
      <c r="AA167" s="6" t="str">
        <f t="shared" si="28"/>
        <v/>
      </c>
      <c r="AB167" s="6" t="str">
        <f t="shared" si="29"/>
        <v/>
      </c>
      <c r="AC167" s="6" t="str">
        <f t="shared" si="30"/>
        <v/>
      </c>
      <c r="AD167" s="6" t="str">
        <f t="shared" si="31"/>
        <v/>
      </c>
      <c r="AE167" s="6" t="str">
        <f t="shared" si="32"/>
        <v/>
      </c>
      <c r="AF167" s="6" t="str">
        <f t="shared" si="33"/>
        <v/>
      </c>
      <c r="AG167" s="6" t="str">
        <f t="shared" si="34"/>
        <v/>
      </c>
      <c r="AH167" s="6" t="str">
        <f t="shared" si="35"/>
        <v/>
      </c>
    </row>
    <row r="168" spans="1:34">
      <c r="A168" s="9"/>
      <c r="C168" s="4" t="str">
        <f>IFERROR(VLOOKUP(B168,'Code Lists'!$A:$B,2,FALSE),"")</f>
        <v/>
      </c>
      <c r="F168" s="4" t="str">
        <f>IFERROR(VLOOKUP(E168,'Code Lists'!$D:$E,2,FALSE),"")</f>
        <v/>
      </c>
      <c r="H168" s="4" t="str">
        <f>IFERROR(VLOOKUP(G168,'Code Lists'!$G:$H,2,FALSE),"")</f>
        <v/>
      </c>
      <c r="J168" s="10"/>
      <c r="M168" s="11"/>
      <c r="Q168" s="7" t="str">
        <f>IF(VedAarnaSKUMaster[[#This Row],[HSN/SAC Code]]=998822,5%,IF(VedAarnaSKUMaster[[#This Row],[HSN/SAC Code]]=998391,18%,IF(VedAarnaSKUMaster[[#This Row],[HSN/SAC Code]]=998723,5%,"")))</f>
        <v/>
      </c>
      <c r="R168" s="5" t="str">
        <f t="shared" si="25"/>
        <v/>
      </c>
      <c r="S168" s="5" t="str">
        <f t="shared" si="26"/>
        <v/>
      </c>
      <c r="T168" s="11"/>
      <c r="U168" s="8" t="str">
        <f>IF(OR(VedAarnaSKUMaster[[#This Row],[Selling Price]]="",VedAarnaSKUMaster[[#This Row],[Selling Price]]=0),"",CEILING(VedAarnaSKUMaster[[#This Row],[Selling Price]]/(1-20%),100)-1)</f>
        <v/>
      </c>
      <c r="V168">
        <f t="shared" si="36"/>
        <v>0</v>
      </c>
      <c r="W168" s="8"/>
      <c r="Z168" s="6" t="str">
        <f t="shared" si="27"/>
        <v/>
      </c>
      <c r="AA168" s="6" t="str">
        <f t="shared" si="28"/>
        <v/>
      </c>
      <c r="AB168" s="6" t="str">
        <f t="shared" si="29"/>
        <v/>
      </c>
      <c r="AC168" s="6" t="str">
        <f t="shared" si="30"/>
        <v/>
      </c>
      <c r="AD168" s="6" t="str">
        <f t="shared" si="31"/>
        <v/>
      </c>
      <c r="AE168" s="6" t="str">
        <f t="shared" si="32"/>
        <v/>
      </c>
      <c r="AF168" s="6" t="str">
        <f t="shared" si="33"/>
        <v/>
      </c>
      <c r="AG168" s="6" t="str">
        <f t="shared" si="34"/>
        <v/>
      </c>
      <c r="AH168" s="6" t="str">
        <f t="shared" si="35"/>
        <v/>
      </c>
    </row>
    <row r="169" spans="1:34">
      <c r="A169" s="9"/>
      <c r="C169" s="4" t="str">
        <f>IFERROR(VLOOKUP(B169,'Code Lists'!$A:$B,2,FALSE),"")</f>
        <v/>
      </c>
      <c r="F169" s="4" t="str">
        <f>IFERROR(VLOOKUP(E169,'Code Lists'!$D:$E,2,FALSE),"")</f>
        <v/>
      </c>
      <c r="H169" s="4" t="str">
        <f>IFERROR(VLOOKUP(G169,'Code Lists'!$G:$H,2,FALSE),"")</f>
        <v/>
      </c>
      <c r="J169" s="10"/>
      <c r="M169" s="11"/>
      <c r="Q169" s="7" t="str">
        <f>IF(VedAarnaSKUMaster[[#This Row],[HSN/SAC Code]]=998822,5%,IF(VedAarnaSKUMaster[[#This Row],[HSN/SAC Code]]=998391,18%,IF(VedAarnaSKUMaster[[#This Row],[HSN/SAC Code]]=998723,5%,"")))</f>
        <v/>
      </c>
      <c r="R169" s="5" t="str">
        <f t="shared" si="25"/>
        <v/>
      </c>
      <c r="S169" s="5" t="str">
        <f t="shared" si="26"/>
        <v/>
      </c>
      <c r="T169" s="11"/>
      <c r="U169" s="8" t="str">
        <f>IF(OR(VedAarnaSKUMaster[[#This Row],[Selling Price]]="",VedAarnaSKUMaster[[#This Row],[Selling Price]]=0),"",CEILING(VedAarnaSKUMaster[[#This Row],[Selling Price]]/(1-20%),100)-1)</f>
        <v/>
      </c>
      <c r="V169">
        <f t="shared" si="36"/>
        <v>0</v>
      </c>
      <c r="W169" s="8"/>
      <c r="Z169" s="6" t="str">
        <f t="shared" si="27"/>
        <v/>
      </c>
      <c r="AA169" s="6" t="str">
        <f t="shared" si="28"/>
        <v/>
      </c>
      <c r="AB169" s="6" t="str">
        <f t="shared" si="29"/>
        <v/>
      </c>
      <c r="AC169" s="6" t="str">
        <f t="shared" si="30"/>
        <v/>
      </c>
      <c r="AD169" s="6" t="str">
        <f t="shared" si="31"/>
        <v/>
      </c>
      <c r="AE169" s="6" t="str">
        <f t="shared" si="32"/>
        <v/>
      </c>
      <c r="AF169" s="6" t="str">
        <f t="shared" si="33"/>
        <v/>
      </c>
      <c r="AG169" s="6" t="str">
        <f t="shared" si="34"/>
        <v/>
      </c>
      <c r="AH169" s="6" t="str">
        <f t="shared" si="35"/>
        <v/>
      </c>
    </row>
    <row r="170" spans="1:34">
      <c r="A170" s="9"/>
      <c r="C170" s="4" t="str">
        <f>IFERROR(VLOOKUP(B170,'Code Lists'!$A:$B,2,FALSE),"")</f>
        <v/>
      </c>
      <c r="F170" s="4" t="str">
        <f>IFERROR(VLOOKUP(E170,'Code Lists'!$D:$E,2,FALSE),"")</f>
        <v/>
      </c>
      <c r="H170" s="4" t="str">
        <f>IFERROR(VLOOKUP(G170,'Code Lists'!$G:$H,2,FALSE),"")</f>
        <v/>
      </c>
      <c r="J170" s="10"/>
      <c r="M170" s="11"/>
      <c r="Q170" s="7" t="str">
        <f>IF(VedAarnaSKUMaster[[#This Row],[HSN/SAC Code]]=998822,5%,IF(VedAarnaSKUMaster[[#This Row],[HSN/SAC Code]]=998391,18%,IF(VedAarnaSKUMaster[[#This Row],[HSN/SAC Code]]=998723,5%,"")))</f>
        <v/>
      </c>
      <c r="R170" s="5" t="str">
        <f t="shared" si="25"/>
        <v/>
      </c>
      <c r="S170" s="5" t="str">
        <f t="shared" si="26"/>
        <v/>
      </c>
      <c r="T170" s="11"/>
      <c r="U170" s="8" t="str">
        <f>IF(OR(VedAarnaSKUMaster[[#This Row],[Selling Price]]="",VedAarnaSKUMaster[[#This Row],[Selling Price]]=0),"",CEILING(VedAarnaSKUMaster[[#This Row],[Selling Price]]/(1-20%),100)-1)</f>
        <v/>
      </c>
      <c r="V170">
        <f t="shared" si="36"/>
        <v>0</v>
      </c>
      <c r="W170" s="8"/>
      <c r="Z170" s="6" t="str">
        <f t="shared" si="27"/>
        <v/>
      </c>
      <c r="AA170" s="6" t="str">
        <f t="shared" si="28"/>
        <v/>
      </c>
      <c r="AB170" s="6" t="str">
        <f t="shared" si="29"/>
        <v/>
      </c>
      <c r="AC170" s="6" t="str">
        <f t="shared" si="30"/>
        <v/>
      </c>
      <c r="AD170" s="6" t="str">
        <f t="shared" si="31"/>
        <v/>
      </c>
      <c r="AE170" s="6" t="str">
        <f t="shared" si="32"/>
        <v/>
      </c>
      <c r="AF170" s="6" t="str">
        <f t="shared" si="33"/>
        <v/>
      </c>
      <c r="AG170" s="6" t="str">
        <f t="shared" si="34"/>
        <v/>
      </c>
      <c r="AH170" s="6" t="str">
        <f t="shared" si="35"/>
        <v/>
      </c>
    </row>
    <row r="171" spans="1:34">
      <c r="A171" s="9"/>
      <c r="C171" s="4" t="str">
        <f>IFERROR(VLOOKUP(B171,'Code Lists'!$A:$B,2,FALSE),"")</f>
        <v/>
      </c>
      <c r="F171" s="4" t="str">
        <f>IFERROR(VLOOKUP(E171,'Code Lists'!$D:$E,2,FALSE),"")</f>
        <v/>
      </c>
      <c r="H171" s="4" t="str">
        <f>IFERROR(VLOOKUP(G171,'Code Lists'!$G:$H,2,FALSE),"")</f>
        <v/>
      </c>
      <c r="J171" s="10"/>
      <c r="M171" s="11"/>
      <c r="Q171" s="7" t="str">
        <f>IF(VedAarnaSKUMaster[[#This Row],[HSN/SAC Code]]=998822,5%,IF(VedAarnaSKUMaster[[#This Row],[HSN/SAC Code]]=998391,18%,IF(VedAarnaSKUMaster[[#This Row],[HSN/SAC Code]]=998723,5%,"")))</f>
        <v/>
      </c>
      <c r="R171" s="5" t="str">
        <f t="shared" si="25"/>
        <v/>
      </c>
      <c r="S171" s="5" t="str">
        <f t="shared" si="26"/>
        <v/>
      </c>
      <c r="T171" s="11"/>
      <c r="U171" s="8" t="str">
        <f>IF(OR(VedAarnaSKUMaster[[#This Row],[Selling Price]]="",VedAarnaSKUMaster[[#This Row],[Selling Price]]=0),"",CEILING(VedAarnaSKUMaster[[#This Row],[Selling Price]]/(1-20%),100)-1)</f>
        <v/>
      </c>
      <c r="V171">
        <f t="shared" si="36"/>
        <v>0</v>
      </c>
      <c r="W171" s="8"/>
      <c r="Z171" s="6" t="str">
        <f t="shared" si="27"/>
        <v/>
      </c>
      <c r="AA171" s="6" t="str">
        <f t="shared" si="28"/>
        <v/>
      </c>
      <c r="AB171" s="6" t="str">
        <f t="shared" si="29"/>
        <v/>
      </c>
      <c r="AC171" s="6" t="str">
        <f t="shared" si="30"/>
        <v/>
      </c>
      <c r="AD171" s="6" t="str">
        <f t="shared" si="31"/>
        <v/>
      </c>
      <c r="AE171" s="6" t="str">
        <f t="shared" si="32"/>
        <v/>
      </c>
      <c r="AF171" s="6" t="str">
        <f t="shared" si="33"/>
        <v/>
      </c>
      <c r="AG171" s="6" t="str">
        <f t="shared" si="34"/>
        <v/>
      </c>
      <c r="AH171" s="6" t="str">
        <f t="shared" si="35"/>
        <v/>
      </c>
    </row>
    <row r="172" spans="1:34">
      <c r="A172" s="9"/>
      <c r="C172" s="4" t="str">
        <f>IFERROR(VLOOKUP(B172,'Code Lists'!$A:$B,2,FALSE),"")</f>
        <v/>
      </c>
      <c r="F172" s="4" t="str">
        <f>IFERROR(VLOOKUP(E172,'Code Lists'!$D:$E,2,FALSE),"")</f>
        <v/>
      </c>
      <c r="H172" s="4" t="str">
        <f>IFERROR(VLOOKUP(G172,'Code Lists'!$G:$H,2,FALSE),"")</f>
        <v/>
      </c>
      <c r="J172" s="10"/>
      <c r="M172" s="11"/>
      <c r="Q172" s="7" t="str">
        <f>IF(VedAarnaSKUMaster[[#This Row],[HSN/SAC Code]]=998822,5%,IF(VedAarnaSKUMaster[[#This Row],[HSN/SAC Code]]=998391,18%,IF(VedAarnaSKUMaster[[#This Row],[HSN/SAC Code]]=998723,5%,"")))</f>
        <v/>
      </c>
      <c r="R172" s="5" t="str">
        <f t="shared" si="25"/>
        <v/>
      </c>
      <c r="S172" s="5" t="str">
        <f t="shared" si="26"/>
        <v/>
      </c>
      <c r="T172" s="11"/>
      <c r="U172" s="8" t="str">
        <f>IF(OR(VedAarnaSKUMaster[[#This Row],[Selling Price]]="",VedAarnaSKUMaster[[#This Row],[Selling Price]]=0),"",CEILING(VedAarnaSKUMaster[[#This Row],[Selling Price]]/(1-20%),100)-1)</f>
        <v/>
      </c>
      <c r="V172">
        <f t="shared" si="36"/>
        <v>0</v>
      </c>
      <c r="W172" s="8"/>
      <c r="Z172" s="6" t="str">
        <f t="shared" si="27"/>
        <v/>
      </c>
      <c r="AA172" s="6" t="str">
        <f t="shared" si="28"/>
        <v/>
      </c>
      <c r="AB172" s="6" t="str">
        <f t="shared" si="29"/>
        <v/>
      </c>
      <c r="AC172" s="6" t="str">
        <f t="shared" si="30"/>
        <v/>
      </c>
      <c r="AD172" s="6" t="str">
        <f t="shared" si="31"/>
        <v/>
      </c>
      <c r="AE172" s="6" t="str">
        <f t="shared" si="32"/>
        <v/>
      </c>
      <c r="AF172" s="6" t="str">
        <f t="shared" si="33"/>
        <v/>
      </c>
      <c r="AG172" s="6" t="str">
        <f t="shared" si="34"/>
        <v/>
      </c>
      <c r="AH172" s="6" t="str">
        <f t="shared" si="35"/>
        <v/>
      </c>
    </row>
    <row r="173" spans="1:34">
      <c r="A173" s="9"/>
      <c r="C173" s="4" t="str">
        <f>IFERROR(VLOOKUP(B173,'Code Lists'!$A:$B,2,FALSE),"")</f>
        <v/>
      </c>
      <c r="F173" s="4" t="str">
        <f>IFERROR(VLOOKUP(E173,'Code Lists'!$D:$E,2,FALSE),"")</f>
        <v/>
      </c>
      <c r="H173" s="4" t="str">
        <f>IFERROR(VLOOKUP(G173,'Code Lists'!$G:$H,2,FALSE),"")</f>
        <v/>
      </c>
      <c r="J173" s="10"/>
      <c r="M173" s="11"/>
      <c r="Q173" s="7" t="str">
        <f>IF(VedAarnaSKUMaster[[#This Row],[HSN/SAC Code]]=998822,5%,IF(VedAarnaSKUMaster[[#This Row],[HSN/SAC Code]]=998391,18%,IF(VedAarnaSKUMaster[[#This Row],[HSN/SAC Code]]=998723,5%,"")))</f>
        <v/>
      </c>
      <c r="R173" s="5" t="str">
        <f t="shared" si="25"/>
        <v/>
      </c>
      <c r="S173" s="5" t="str">
        <f t="shared" si="26"/>
        <v/>
      </c>
      <c r="T173" s="11"/>
      <c r="U173" s="8" t="str">
        <f>IF(OR(VedAarnaSKUMaster[[#This Row],[Selling Price]]="",VedAarnaSKUMaster[[#This Row],[Selling Price]]=0),"",CEILING(VedAarnaSKUMaster[[#This Row],[Selling Price]]/(1-20%),100)-1)</f>
        <v/>
      </c>
      <c r="V173">
        <f t="shared" si="36"/>
        <v>0</v>
      </c>
      <c r="W173" s="8"/>
      <c r="Z173" s="6" t="str">
        <f t="shared" si="27"/>
        <v/>
      </c>
      <c r="AA173" s="6" t="str">
        <f t="shared" si="28"/>
        <v/>
      </c>
      <c r="AB173" s="6" t="str">
        <f t="shared" si="29"/>
        <v/>
      </c>
      <c r="AC173" s="6" t="str">
        <f t="shared" si="30"/>
        <v/>
      </c>
      <c r="AD173" s="6" t="str">
        <f t="shared" si="31"/>
        <v/>
      </c>
      <c r="AE173" s="6" t="str">
        <f t="shared" si="32"/>
        <v/>
      </c>
      <c r="AF173" s="6" t="str">
        <f t="shared" si="33"/>
        <v/>
      </c>
      <c r="AG173" s="6" t="str">
        <f t="shared" si="34"/>
        <v/>
      </c>
      <c r="AH173" s="6" t="str">
        <f t="shared" si="35"/>
        <v/>
      </c>
    </row>
    <row r="174" spans="1:34">
      <c r="A174" s="9"/>
      <c r="C174" s="4" t="str">
        <f>IFERROR(VLOOKUP(B174,'Code Lists'!$A:$B,2,FALSE),"")</f>
        <v/>
      </c>
      <c r="F174" s="4" t="str">
        <f>IFERROR(VLOOKUP(E174,'Code Lists'!$D:$E,2,FALSE),"")</f>
        <v/>
      </c>
      <c r="H174" s="4" t="str">
        <f>IFERROR(VLOOKUP(G174,'Code Lists'!$G:$H,2,FALSE),"")</f>
        <v/>
      </c>
      <c r="J174" s="10"/>
      <c r="M174" s="11"/>
      <c r="Q174" s="7" t="str">
        <f>IF(VedAarnaSKUMaster[[#This Row],[HSN/SAC Code]]=998822,5%,IF(VedAarnaSKUMaster[[#This Row],[HSN/SAC Code]]=998391,18%,IF(VedAarnaSKUMaster[[#This Row],[HSN/SAC Code]]=998723,5%,"")))</f>
        <v/>
      </c>
      <c r="R174" s="5" t="str">
        <f t="shared" si="25"/>
        <v/>
      </c>
      <c r="S174" s="5" t="str">
        <f t="shared" si="26"/>
        <v/>
      </c>
      <c r="T174" s="11"/>
      <c r="U174" s="8" t="str">
        <f>IF(OR(VedAarnaSKUMaster[[#This Row],[Selling Price]]="",VedAarnaSKUMaster[[#This Row],[Selling Price]]=0),"",CEILING(VedAarnaSKUMaster[[#This Row],[Selling Price]]/(1-20%),100)-1)</f>
        <v/>
      </c>
      <c r="V174">
        <f t="shared" si="36"/>
        <v>0</v>
      </c>
      <c r="W174" s="8"/>
      <c r="Z174" s="6" t="str">
        <f t="shared" si="27"/>
        <v/>
      </c>
      <c r="AA174" s="6" t="str">
        <f t="shared" si="28"/>
        <v/>
      </c>
      <c r="AB174" s="6" t="str">
        <f t="shared" si="29"/>
        <v/>
      </c>
      <c r="AC174" s="6" t="str">
        <f t="shared" si="30"/>
        <v/>
      </c>
      <c r="AD174" s="6" t="str">
        <f t="shared" si="31"/>
        <v/>
      </c>
      <c r="AE174" s="6" t="str">
        <f t="shared" si="32"/>
        <v/>
      </c>
      <c r="AF174" s="6" t="str">
        <f t="shared" si="33"/>
        <v/>
      </c>
      <c r="AG174" s="6" t="str">
        <f t="shared" si="34"/>
        <v/>
      </c>
      <c r="AH174" s="6" t="str">
        <f t="shared" si="35"/>
        <v/>
      </c>
    </row>
    <row r="175" spans="1:34">
      <c r="A175" s="9"/>
      <c r="C175" s="4" t="str">
        <f>IFERROR(VLOOKUP(B175,'Code Lists'!$A:$B,2,FALSE),"")</f>
        <v/>
      </c>
      <c r="F175" s="4" t="str">
        <f>IFERROR(VLOOKUP(E175,'Code Lists'!$D:$E,2,FALSE),"")</f>
        <v/>
      </c>
      <c r="H175" s="4" t="str">
        <f>IFERROR(VLOOKUP(G175,'Code Lists'!$G:$H,2,FALSE),"")</f>
        <v/>
      </c>
      <c r="J175" s="10"/>
      <c r="M175" s="11"/>
      <c r="Q175" s="7" t="str">
        <f>IF(VedAarnaSKUMaster[[#This Row],[HSN/SAC Code]]=998822,5%,IF(VedAarnaSKUMaster[[#This Row],[HSN/SAC Code]]=998391,18%,IF(VedAarnaSKUMaster[[#This Row],[HSN/SAC Code]]=998723,5%,"")))</f>
        <v/>
      </c>
      <c r="R175" s="5" t="str">
        <f t="shared" si="25"/>
        <v/>
      </c>
      <c r="S175" s="5" t="str">
        <f t="shared" si="26"/>
        <v/>
      </c>
      <c r="T175" s="11"/>
      <c r="U175" s="8" t="str">
        <f>IF(OR(VedAarnaSKUMaster[[#This Row],[Selling Price]]="",VedAarnaSKUMaster[[#This Row],[Selling Price]]=0),"",CEILING(VedAarnaSKUMaster[[#This Row],[Selling Price]]/(1-20%),100)-1)</f>
        <v/>
      </c>
      <c r="V175">
        <f t="shared" si="36"/>
        <v>0</v>
      </c>
      <c r="W175" s="8"/>
      <c r="Z175" s="6" t="str">
        <f t="shared" si="27"/>
        <v/>
      </c>
      <c r="AA175" s="6" t="str">
        <f t="shared" si="28"/>
        <v/>
      </c>
      <c r="AB175" s="6" t="str">
        <f t="shared" si="29"/>
        <v/>
      </c>
      <c r="AC175" s="6" t="str">
        <f t="shared" si="30"/>
        <v/>
      </c>
      <c r="AD175" s="6" t="str">
        <f t="shared" si="31"/>
        <v/>
      </c>
      <c r="AE175" s="6" t="str">
        <f t="shared" si="32"/>
        <v/>
      </c>
      <c r="AF175" s="6" t="str">
        <f t="shared" si="33"/>
        <v/>
      </c>
      <c r="AG175" s="6" t="str">
        <f t="shared" si="34"/>
        <v/>
      </c>
      <c r="AH175" s="6" t="str">
        <f t="shared" si="35"/>
        <v/>
      </c>
    </row>
    <row r="176" spans="1:34">
      <c r="A176" s="9"/>
      <c r="C176" s="4" t="str">
        <f>IFERROR(VLOOKUP(B176,'Code Lists'!$A:$B,2,FALSE),"")</f>
        <v/>
      </c>
      <c r="F176" s="4" t="str">
        <f>IFERROR(VLOOKUP(E176,'Code Lists'!$D:$E,2,FALSE),"")</f>
        <v/>
      </c>
      <c r="H176" s="4" t="str">
        <f>IFERROR(VLOOKUP(G176,'Code Lists'!$G:$H,2,FALSE),"")</f>
        <v/>
      </c>
      <c r="J176" s="10"/>
      <c r="M176" s="11"/>
      <c r="Q176" s="7" t="str">
        <f>IF(VedAarnaSKUMaster[[#This Row],[HSN/SAC Code]]=998822,5%,IF(VedAarnaSKUMaster[[#This Row],[HSN/SAC Code]]=998391,18%,IF(VedAarnaSKUMaster[[#This Row],[HSN/SAC Code]]=998723,5%,"")))</f>
        <v/>
      </c>
      <c r="R176" s="5" t="str">
        <f t="shared" si="25"/>
        <v/>
      </c>
      <c r="S176" s="5" t="str">
        <f t="shared" si="26"/>
        <v/>
      </c>
      <c r="T176" s="11"/>
      <c r="U176" s="8" t="str">
        <f>IF(OR(VedAarnaSKUMaster[[#This Row],[Selling Price]]="",VedAarnaSKUMaster[[#This Row],[Selling Price]]=0),"",CEILING(VedAarnaSKUMaster[[#This Row],[Selling Price]]/(1-20%),100)-1)</f>
        <v/>
      </c>
      <c r="V176">
        <f t="shared" si="36"/>
        <v>0</v>
      </c>
      <c r="W176" s="8"/>
      <c r="Z176" s="6" t="str">
        <f t="shared" si="27"/>
        <v/>
      </c>
      <c r="AA176" s="6" t="str">
        <f t="shared" si="28"/>
        <v/>
      </c>
      <c r="AB176" s="6" t="str">
        <f t="shared" si="29"/>
        <v/>
      </c>
      <c r="AC176" s="6" t="str">
        <f t="shared" si="30"/>
        <v/>
      </c>
      <c r="AD176" s="6" t="str">
        <f t="shared" si="31"/>
        <v/>
      </c>
      <c r="AE176" s="6" t="str">
        <f t="shared" si="32"/>
        <v/>
      </c>
      <c r="AF176" s="6" t="str">
        <f t="shared" si="33"/>
        <v/>
      </c>
      <c r="AG176" s="6" t="str">
        <f t="shared" si="34"/>
        <v/>
      </c>
      <c r="AH176" s="6" t="str">
        <f t="shared" si="35"/>
        <v/>
      </c>
    </row>
    <row r="177" spans="1:34">
      <c r="A177" s="9"/>
      <c r="C177" s="4" t="str">
        <f>IFERROR(VLOOKUP(B177,'Code Lists'!$A:$B,2,FALSE),"")</f>
        <v/>
      </c>
      <c r="F177" s="4" t="str">
        <f>IFERROR(VLOOKUP(E177,'Code Lists'!$D:$E,2,FALSE),"")</f>
        <v/>
      </c>
      <c r="H177" s="4" t="str">
        <f>IFERROR(VLOOKUP(G177,'Code Lists'!$G:$H,2,FALSE),"")</f>
        <v/>
      </c>
      <c r="J177" s="10"/>
      <c r="M177" s="11"/>
      <c r="Q177" s="7" t="str">
        <f>IF(VedAarnaSKUMaster[[#This Row],[HSN/SAC Code]]=998822,5%,IF(VedAarnaSKUMaster[[#This Row],[HSN/SAC Code]]=998391,18%,IF(VedAarnaSKUMaster[[#This Row],[HSN/SAC Code]]=998723,5%,"")))</f>
        <v/>
      </c>
      <c r="R177" s="5" t="str">
        <f t="shared" si="25"/>
        <v/>
      </c>
      <c r="S177" s="5" t="str">
        <f t="shared" si="26"/>
        <v/>
      </c>
      <c r="T177" s="11"/>
      <c r="U177" s="8" t="str">
        <f>IF(OR(VedAarnaSKUMaster[[#This Row],[Selling Price]]="",VedAarnaSKUMaster[[#This Row],[Selling Price]]=0),"",CEILING(VedAarnaSKUMaster[[#This Row],[Selling Price]]/(1-20%),100)-1)</f>
        <v/>
      </c>
      <c r="V177">
        <f t="shared" si="36"/>
        <v>0</v>
      </c>
      <c r="W177" s="8"/>
      <c r="Z177" s="6" t="str">
        <f t="shared" si="27"/>
        <v/>
      </c>
      <c r="AA177" s="6" t="str">
        <f t="shared" si="28"/>
        <v/>
      </c>
      <c r="AB177" s="6" t="str">
        <f t="shared" si="29"/>
        <v/>
      </c>
      <c r="AC177" s="6" t="str">
        <f t="shared" si="30"/>
        <v/>
      </c>
      <c r="AD177" s="6" t="str">
        <f t="shared" si="31"/>
        <v/>
      </c>
      <c r="AE177" s="6" t="str">
        <f t="shared" si="32"/>
        <v/>
      </c>
      <c r="AF177" s="6" t="str">
        <f t="shared" si="33"/>
        <v/>
      </c>
      <c r="AG177" s="6" t="str">
        <f t="shared" si="34"/>
        <v/>
      </c>
      <c r="AH177" s="6" t="str">
        <f t="shared" si="35"/>
        <v/>
      </c>
    </row>
    <row r="178" spans="1:34">
      <c r="A178" s="9"/>
      <c r="C178" s="4" t="str">
        <f>IFERROR(VLOOKUP(B178,'Code Lists'!$A:$B,2,FALSE),"")</f>
        <v/>
      </c>
      <c r="F178" s="4" t="str">
        <f>IFERROR(VLOOKUP(E178,'Code Lists'!$D:$E,2,FALSE),"")</f>
        <v/>
      </c>
      <c r="H178" s="4" t="str">
        <f>IFERROR(VLOOKUP(G178,'Code Lists'!$G:$H,2,FALSE),"")</f>
        <v/>
      </c>
      <c r="J178" s="10"/>
      <c r="M178" s="11"/>
      <c r="Q178" s="7" t="str">
        <f>IF(VedAarnaSKUMaster[[#This Row],[HSN/SAC Code]]=998822,5%,IF(VedAarnaSKUMaster[[#This Row],[HSN/SAC Code]]=998391,18%,IF(VedAarnaSKUMaster[[#This Row],[HSN/SAC Code]]=998723,5%,"")))</f>
        <v/>
      </c>
      <c r="R178" s="5" t="str">
        <f t="shared" si="25"/>
        <v/>
      </c>
      <c r="S178" s="5" t="str">
        <f t="shared" si="26"/>
        <v/>
      </c>
      <c r="T178" s="11"/>
      <c r="U178" s="8" t="str">
        <f>IF(OR(VedAarnaSKUMaster[[#This Row],[Selling Price]]="",VedAarnaSKUMaster[[#This Row],[Selling Price]]=0),"",CEILING(VedAarnaSKUMaster[[#This Row],[Selling Price]]/(1-20%),100)-1)</f>
        <v/>
      </c>
      <c r="V178">
        <f t="shared" si="36"/>
        <v>0</v>
      </c>
      <c r="W178" s="8"/>
      <c r="Z178" s="6" t="str">
        <f t="shared" si="27"/>
        <v/>
      </c>
      <c r="AA178" s="6" t="str">
        <f t="shared" si="28"/>
        <v/>
      </c>
      <c r="AB178" s="6" t="str">
        <f t="shared" si="29"/>
        <v/>
      </c>
      <c r="AC178" s="6" t="str">
        <f t="shared" si="30"/>
        <v/>
      </c>
      <c r="AD178" s="6" t="str">
        <f t="shared" si="31"/>
        <v/>
      </c>
      <c r="AE178" s="6" t="str">
        <f t="shared" si="32"/>
        <v/>
      </c>
      <c r="AF178" s="6" t="str">
        <f t="shared" si="33"/>
        <v/>
      </c>
      <c r="AG178" s="6" t="str">
        <f t="shared" si="34"/>
        <v/>
      </c>
      <c r="AH178" s="6" t="str">
        <f t="shared" si="35"/>
        <v/>
      </c>
    </row>
    <row r="179" spans="1:34">
      <c r="A179" s="9"/>
      <c r="C179" s="4" t="str">
        <f>IFERROR(VLOOKUP(B179,'Code Lists'!$A:$B,2,FALSE),"")</f>
        <v/>
      </c>
      <c r="F179" s="4" t="str">
        <f>IFERROR(VLOOKUP(E179,'Code Lists'!$D:$E,2,FALSE),"")</f>
        <v/>
      </c>
      <c r="H179" s="4" t="str">
        <f>IFERROR(VLOOKUP(G179,'Code Lists'!$G:$H,2,FALSE),"")</f>
        <v/>
      </c>
      <c r="J179" s="10"/>
      <c r="M179" s="11"/>
      <c r="Q179" s="7" t="str">
        <f>IF(VedAarnaSKUMaster[[#This Row],[HSN/SAC Code]]=998822,5%,IF(VedAarnaSKUMaster[[#This Row],[HSN/SAC Code]]=998391,18%,IF(VedAarnaSKUMaster[[#This Row],[HSN/SAC Code]]=998723,5%,"")))</f>
        <v/>
      </c>
      <c r="R179" s="5" t="str">
        <f t="shared" si="25"/>
        <v/>
      </c>
      <c r="S179" s="5" t="str">
        <f t="shared" si="26"/>
        <v/>
      </c>
      <c r="T179" s="11"/>
      <c r="U179" s="8" t="str">
        <f>IF(OR(VedAarnaSKUMaster[[#This Row],[Selling Price]]="",VedAarnaSKUMaster[[#This Row],[Selling Price]]=0),"",CEILING(VedAarnaSKUMaster[[#This Row],[Selling Price]]/(1-20%),100)-1)</f>
        <v/>
      </c>
      <c r="V179">
        <f t="shared" si="36"/>
        <v>0</v>
      </c>
      <c r="W179" s="8"/>
      <c r="Z179" s="6" t="str">
        <f t="shared" si="27"/>
        <v/>
      </c>
      <c r="AA179" s="6" t="str">
        <f t="shared" si="28"/>
        <v/>
      </c>
      <c r="AB179" s="6" t="str">
        <f t="shared" si="29"/>
        <v/>
      </c>
      <c r="AC179" s="6" t="str">
        <f t="shared" si="30"/>
        <v/>
      </c>
      <c r="AD179" s="6" t="str">
        <f t="shared" si="31"/>
        <v/>
      </c>
      <c r="AE179" s="6" t="str">
        <f t="shared" si="32"/>
        <v/>
      </c>
      <c r="AF179" s="6" t="str">
        <f t="shared" si="33"/>
        <v/>
      </c>
      <c r="AG179" s="6" t="str">
        <f t="shared" si="34"/>
        <v/>
      </c>
      <c r="AH179" s="6" t="str">
        <f t="shared" si="35"/>
        <v/>
      </c>
    </row>
    <row r="180" spans="1:34">
      <c r="A180" s="9"/>
      <c r="C180" s="4" t="str">
        <f>IFERROR(VLOOKUP(B180,'Code Lists'!$A:$B,2,FALSE),"")</f>
        <v/>
      </c>
      <c r="F180" s="4" t="str">
        <f>IFERROR(VLOOKUP(E180,'Code Lists'!$D:$E,2,FALSE),"")</f>
        <v/>
      </c>
      <c r="H180" s="4" t="str">
        <f>IFERROR(VLOOKUP(G180,'Code Lists'!$G:$H,2,FALSE),"")</f>
        <v/>
      </c>
      <c r="J180" s="10"/>
      <c r="M180" s="11"/>
      <c r="Q180" s="7" t="str">
        <f>IF(VedAarnaSKUMaster[[#This Row],[HSN/SAC Code]]=998822,5%,IF(VedAarnaSKUMaster[[#This Row],[HSN/SAC Code]]=998391,18%,IF(VedAarnaSKUMaster[[#This Row],[HSN/SAC Code]]=998723,5%,"")))</f>
        <v/>
      </c>
      <c r="R180" s="5" t="str">
        <f t="shared" si="25"/>
        <v/>
      </c>
      <c r="S180" s="5" t="str">
        <f t="shared" si="26"/>
        <v/>
      </c>
      <c r="T180" s="11"/>
      <c r="U180" s="8" t="str">
        <f>IF(OR(VedAarnaSKUMaster[[#This Row],[Selling Price]]="",VedAarnaSKUMaster[[#This Row],[Selling Price]]=0),"",CEILING(VedAarnaSKUMaster[[#This Row],[Selling Price]]/(1-20%),100)-1)</f>
        <v/>
      </c>
      <c r="V180">
        <f t="shared" si="36"/>
        <v>0</v>
      </c>
      <c r="W180" s="8"/>
      <c r="Z180" s="6" t="str">
        <f t="shared" si="27"/>
        <v/>
      </c>
      <c r="AA180" s="6" t="str">
        <f t="shared" si="28"/>
        <v/>
      </c>
      <c r="AB180" s="6" t="str">
        <f t="shared" si="29"/>
        <v/>
      </c>
      <c r="AC180" s="6" t="str">
        <f t="shared" si="30"/>
        <v/>
      </c>
      <c r="AD180" s="6" t="str">
        <f t="shared" si="31"/>
        <v/>
      </c>
      <c r="AE180" s="6" t="str">
        <f t="shared" si="32"/>
        <v/>
      </c>
      <c r="AF180" s="6" t="str">
        <f t="shared" si="33"/>
        <v/>
      </c>
      <c r="AG180" s="6" t="str">
        <f t="shared" si="34"/>
        <v/>
      </c>
      <c r="AH180" s="6" t="str">
        <f t="shared" si="35"/>
        <v/>
      </c>
    </row>
    <row r="181" spans="1:34">
      <c r="A181" s="9"/>
      <c r="C181" s="4" t="str">
        <f>IFERROR(VLOOKUP(B181,'Code Lists'!$A:$B,2,FALSE),"")</f>
        <v/>
      </c>
      <c r="F181" s="4" t="str">
        <f>IFERROR(VLOOKUP(E181,'Code Lists'!$D:$E,2,FALSE),"")</f>
        <v/>
      </c>
      <c r="H181" s="4" t="str">
        <f>IFERROR(VLOOKUP(G181,'Code Lists'!$G:$H,2,FALSE),"")</f>
        <v/>
      </c>
      <c r="J181" s="10"/>
      <c r="M181" s="11"/>
      <c r="Q181" s="7" t="str">
        <f>IF(VedAarnaSKUMaster[[#This Row],[HSN/SAC Code]]=998822,5%,IF(VedAarnaSKUMaster[[#This Row],[HSN/SAC Code]]=998391,18%,IF(VedAarnaSKUMaster[[#This Row],[HSN/SAC Code]]=998723,5%,"")))</f>
        <v/>
      </c>
      <c r="R181" s="5" t="str">
        <f t="shared" si="25"/>
        <v/>
      </c>
      <c r="S181" s="5" t="str">
        <f t="shared" si="26"/>
        <v/>
      </c>
      <c r="T181" s="11"/>
      <c r="U181" s="8" t="str">
        <f>IF(OR(VedAarnaSKUMaster[[#This Row],[Selling Price]]="",VedAarnaSKUMaster[[#This Row],[Selling Price]]=0),"",CEILING(VedAarnaSKUMaster[[#This Row],[Selling Price]]/(1-20%),100)-1)</f>
        <v/>
      </c>
      <c r="V181">
        <f t="shared" si="36"/>
        <v>0</v>
      </c>
      <c r="W181" s="8"/>
      <c r="Z181" s="6" t="str">
        <f t="shared" si="27"/>
        <v/>
      </c>
      <c r="AA181" s="6" t="str">
        <f t="shared" si="28"/>
        <v/>
      </c>
      <c r="AB181" s="6" t="str">
        <f t="shared" si="29"/>
        <v/>
      </c>
      <c r="AC181" s="6" t="str">
        <f t="shared" si="30"/>
        <v/>
      </c>
      <c r="AD181" s="6" t="str">
        <f t="shared" si="31"/>
        <v/>
      </c>
      <c r="AE181" s="6" t="str">
        <f t="shared" si="32"/>
        <v/>
      </c>
      <c r="AF181" s="6" t="str">
        <f t="shared" si="33"/>
        <v/>
      </c>
      <c r="AG181" s="6" t="str">
        <f t="shared" si="34"/>
        <v/>
      </c>
      <c r="AH181" s="6" t="str">
        <f t="shared" si="35"/>
        <v/>
      </c>
    </row>
    <row r="182" spans="1:34">
      <c r="A182" s="9"/>
      <c r="C182" s="4" t="str">
        <f>IFERROR(VLOOKUP(B182,'Code Lists'!$A:$B,2,FALSE),"")</f>
        <v/>
      </c>
      <c r="F182" s="4" t="str">
        <f>IFERROR(VLOOKUP(E182,'Code Lists'!$D:$E,2,FALSE),"")</f>
        <v/>
      </c>
      <c r="H182" s="4" t="str">
        <f>IFERROR(VLOOKUP(G182,'Code Lists'!$G:$H,2,FALSE),"")</f>
        <v/>
      </c>
      <c r="J182" s="10"/>
      <c r="M182" s="11"/>
      <c r="Q182" s="7" t="str">
        <f>IF(VedAarnaSKUMaster[[#This Row],[HSN/SAC Code]]=998822,5%,IF(VedAarnaSKUMaster[[#This Row],[HSN/SAC Code]]=998391,18%,IF(VedAarnaSKUMaster[[#This Row],[HSN/SAC Code]]=998723,5%,"")))</f>
        <v/>
      </c>
      <c r="R182" s="5" t="str">
        <f t="shared" si="25"/>
        <v/>
      </c>
      <c r="S182" s="5" t="str">
        <f t="shared" si="26"/>
        <v/>
      </c>
      <c r="T182" s="11"/>
      <c r="U182" s="8" t="str">
        <f>IF(OR(VedAarnaSKUMaster[[#This Row],[Selling Price]]="",VedAarnaSKUMaster[[#This Row],[Selling Price]]=0),"",CEILING(VedAarnaSKUMaster[[#This Row],[Selling Price]]/(1-20%),100)-1)</f>
        <v/>
      </c>
      <c r="V182">
        <f t="shared" si="36"/>
        <v>0</v>
      </c>
      <c r="W182" s="8"/>
      <c r="Z182" s="6" t="str">
        <f t="shared" si="27"/>
        <v/>
      </c>
      <c r="AA182" s="6" t="str">
        <f t="shared" si="28"/>
        <v/>
      </c>
      <c r="AB182" s="6" t="str">
        <f t="shared" si="29"/>
        <v/>
      </c>
      <c r="AC182" s="6" t="str">
        <f t="shared" si="30"/>
        <v/>
      </c>
      <c r="AD182" s="6" t="str">
        <f t="shared" si="31"/>
        <v/>
      </c>
      <c r="AE182" s="6" t="str">
        <f t="shared" si="32"/>
        <v/>
      </c>
      <c r="AF182" s="6" t="str">
        <f t="shared" si="33"/>
        <v/>
      </c>
      <c r="AG182" s="6" t="str">
        <f t="shared" si="34"/>
        <v/>
      </c>
      <c r="AH182" s="6" t="str">
        <f t="shared" si="35"/>
        <v/>
      </c>
    </row>
    <row r="183" spans="1:34">
      <c r="A183" s="9"/>
      <c r="C183" s="4" t="str">
        <f>IFERROR(VLOOKUP(B183,'Code Lists'!$A:$B,2,FALSE),"")</f>
        <v/>
      </c>
      <c r="F183" s="4" t="str">
        <f>IFERROR(VLOOKUP(E183,'Code Lists'!$D:$E,2,FALSE),"")</f>
        <v/>
      </c>
      <c r="H183" s="4" t="str">
        <f>IFERROR(VLOOKUP(G183,'Code Lists'!$G:$H,2,FALSE),"")</f>
        <v/>
      </c>
      <c r="J183" s="10"/>
      <c r="M183" s="11"/>
      <c r="Q183" s="7" t="str">
        <f>IF(VedAarnaSKUMaster[[#This Row],[HSN/SAC Code]]=998822,5%,IF(VedAarnaSKUMaster[[#This Row],[HSN/SAC Code]]=998391,18%,IF(VedAarnaSKUMaster[[#This Row],[HSN/SAC Code]]=998723,5%,"")))</f>
        <v/>
      </c>
      <c r="R183" s="5" t="str">
        <f t="shared" si="25"/>
        <v/>
      </c>
      <c r="S183" s="5" t="str">
        <f t="shared" si="26"/>
        <v/>
      </c>
      <c r="T183" s="11"/>
      <c r="U183" s="8" t="str">
        <f>IF(OR(VedAarnaSKUMaster[[#This Row],[Selling Price]]="",VedAarnaSKUMaster[[#This Row],[Selling Price]]=0),"",CEILING(VedAarnaSKUMaster[[#This Row],[Selling Price]]/(1-20%),100)-1)</f>
        <v/>
      </c>
      <c r="V183">
        <f t="shared" si="36"/>
        <v>0</v>
      </c>
      <c r="W183" s="8"/>
      <c r="Z183" s="6" t="str">
        <f t="shared" si="27"/>
        <v/>
      </c>
      <c r="AA183" s="6" t="str">
        <f t="shared" si="28"/>
        <v/>
      </c>
      <c r="AB183" s="6" t="str">
        <f t="shared" si="29"/>
        <v/>
      </c>
      <c r="AC183" s="6" t="str">
        <f t="shared" si="30"/>
        <v/>
      </c>
      <c r="AD183" s="6" t="str">
        <f t="shared" si="31"/>
        <v/>
      </c>
      <c r="AE183" s="6" t="str">
        <f t="shared" si="32"/>
        <v/>
      </c>
      <c r="AF183" s="6" t="str">
        <f t="shared" si="33"/>
        <v/>
      </c>
      <c r="AG183" s="6" t="str">
        <f t="shared" si="34"/>
        <v/>
      </c>
      <c r="AH183" s="6" t="str">
        <f t="shared" si="35"/>
        <v/>
      </c>
    </row>
    <row r="184" spans="1:34">
      <c r="A184" s="9"/>
      <c r="C184" s="4" t="str">
        <f>IFERROR(VLOOKUP(B184,'Code Lists'!$A:$B,2,FALSE),"")</f>
        <v/>
      </c>
      <c r="F184" s="4" t="str">
        <f>IFERROR(VLOOKUP(E184,'Code Lists'!$D:$E,2,FALSE),"")</f>
        <v/>
      </c>
      <c r="H184" s="4" t="str">
        <f>IFERROR(VLOOKUP(G184,'Code Lists'!$G:$H,2,FALSE),"")</f>
        <v/>
      </c>
      <c r="J184" s="10"/>
      <c r="M184" s="11"/>
      <c r="Q184" s="7" t="str">
        <f>IF(VedAarnaSKUMaster[[#This Row],[HSN/SAC Code]]=998822,5%,IF(VedAarnaSKUMaster[[#This Row],[HSN/SAC Code]]=998391,18%,IF(VedAarnaSKUMaster[[#This Row],[HSN/SAC Code]]=998723,5%,"")))</f>
        <v/>
      </c>
      <c r="R184" s="5" t="str">
        <f t="shared" si="25"/>
        <v/>
      </c>
      <c r="S184" s="5" t="str">
        <f t="shared" si="26"/>
        <v/>
      </c>
      <c r="T184" s="11"/>
      <c r="U184" s="8" t="str">
        <f>IF(OR(VedAarnaSKUMaster[[#This Row],[Selling Price]]="",VedAarnaSKUMaster[[#This Row],[Selling Price]]=0),"",CEILING(VedAarnaSKUMaster[[#This Row],[Selling Price]]/(1-20%),100)-1)</f>
        <v/>
      </c>
      <c r="V184">
        <f t="shared" si="36"/>
        <v>0</v>
      </c>
      <c r="W184" s="8"/>
      <c r="Z184" s="6" t="str">
        <f t="shared" si="27"/>
        <v/>
      </c>
      <c r="AA184" s="6" t="str">
        <f t="shared" si="28"/>
        <v/>
      </c>
      <c r="AB184" s="6" t="str">
        <f t="shared" si="29"/>
        <v/>
      </c>
      <c r="AC184" s="6" t="str">
        <f t="shared" si="30"/>
        <v/>
      </c>
      <c r="AD184" s="6" t="str">
        <f t="shared" si="31"/>
        <v/>
      </c>
      <c r="AE184" s="6" t="str">
        <f t="shared" si="32"/>
        <v/>
      </c>
      <c r="AF184" s="6" t="str">
        <f t="shared" si="33"/>
        <v/>
      </c>
      <c r="AG184" s="6" t="str">
        <f t="shared" si="34"/>
        <v/>
      </c>
      <c r="AH184" s="6" t="str">
        <f t="shared" si="35"/>
        <v/>
      </c>
    </row>
    <row r="185" spans="1:34">
      <c r="A185" s="9"/>
      <c r="C185" s="4" t="str">
        <f>IFERROR(VLOOKUP(B185,'Code Lists'!$A:$B,2,FALSE),"")</f>
        <v/>
      </c>
      <c r="F185" s="4" t="str">
        <f>IFERROR(VLOOKUP(E185,'Code Lists'!$D:$E,2,FALSE),"")</f>
        <v/>
      </c>
      <c r="H185" s="4" t="str">
        <f>IFERROR(VLOOKUP(G185,'Code Lists'!$G:$H,2,FALSE),"")</f>
        <v/>
      </c>
      <c r="J185" s="10"/>
      <c r="M185" s="11"/>
      <c r="Q185" s="7" t="str">
        <f>IF(VedAarnaSKUMaster[[#This Row],[HSN/SAC Code]]=998822,5%,IF(VedAarnaSKUMaster[[#This Row],[HSN/SAC Code]]=998391,18%,IF(VedAarnaSKUMaster[[#This Row],[HSN/SAC Code]]=998723,5%,"")))</f>
        <v/>
      </c>
      <c r="R185" s="5" t="str">
        <f t="shared" si="25"/>
        <v/>
      </c>
      <c r="S185" s="5" t="str">
        <f t="shared" si="26"/>
        <v/>
      </c>
      <c r="T185" s="11"/>
      <c r="U185" s="8" t="str">
        <f>IF(OR(VedAarnaSKUMaster[[#This Row],[Selling Price]]="",VedAarnaSKUMaster[[#This Row],[Selling Price]]=0),"",CEILING(VedAarnaSKUMaster[[#This Row],[Selling Price]]/(1-20%),100)-1)</f>
        <v/>
      </c>
      <c r="V185">
        <f t="shared" si="36"/>
        <v>0</v>
      </c>
      <c r="W185" s="8"/>
      <c r="Z185" s="6" t="str">
        <f t="shared" si="27"/>
        <v/>
      </c>
      <c r="AA185" s="6" t="str">
        <f t="shared" si="28"/>
        <v/>
      </c>
      <c r="AB185" s="6" t="str">
        <f t="shared" si="29"/>
        <v/>
      </c>
      <c r="AC185" s="6" t="str">
        <f t="shared" si="30"/>
        <v/>
      </c>
      <c r="AD185" s="6" t="str">
        <f t="shared" si="31"/>
        <v/>
      </c>
      <c r="AE185" s="6" t="str">
        <f t="shared" si="32"/>
        <v/>
      </c>
      <c r="AF185" s="6" t="str">
        <f t="shared" si="33"/>
        <v/>
      </c>
      <c r="AG185" s="6" t="str">
        <f t="shared" si="34"/>
        <v/>
      </c>
      <c r="AH185" s="6" t="str">
        <f t="shared" si="35"/>
        <v/>
      </c>
    </row>
    <row r="186" spans="1:34">
      <c r="A186" s="9"/>
      <c r="C186" s="4" t="str">
        <f>IFERROR(VLOOKUP(B186,'Code Lists'!$A:$B,2,FALSE),"")</f>
        <v/>
      </c>
      <c r="F186" s="4" t="str">
        <f>IFERROR(VLOOKUP(E186,'Code Lists'!$D:$E,2,FALSE),"")</f>
        <v/>
      </c>
      <c r="H186" s="4" t="str">
        <f>IFERROR(VLOOKUP(G186,'Code Lists'!$G:$H,2,FALSE),"")</f>
        <v/>
      </c>
      <c r="J186" s="10"/>
      <c r="M186" s="11"/>
      <c r="Q186" s="7" t="str">
        <f>IF(VedAarnaSKUMaster[[#This Row],[HSN/SAC Code]]=998822,5%,IF(VedAarnaSKUMaster[[#This Row],[HSN/SAC Code]]=998391,18%,IF(VedAarnaSKUMaster[[#This Row],[HSN/SAC Code]]=998723,5%,"")))</f>
        <v/>
      </c>
      <c r="R186" s="5" t="str">
        <f t="shared" si="25"/>
        <v/>
      </c>
      <c r="S186" s="5" t="str">
        <f t="shared" si="26"/>
        <v/>
      </c>
      <c r="T186" s="11"/>
      <c r="U186" s="8" t="str">
        <f>IF(OR(VedAarnaSKUMaster[[#This Row],[Selling Price]]="",VedAarnaSKUMaster[[#This Row],[Selling Price]]=0),"",CEILING(VedAarnaSKUMaster[[#This Row],[Selling Price]]/(1-20%),100)-1)</f>
        <v/>
      </c>
      <c r="V186">
        <f t="shared" si="36"/>
        <v>0</v>
      </c>
      <c r="W186" s="8"/>
      <c r="Z186" s="6" t="str">
        <f t="shared" si="27"/>
        <v/>
      </c>
      <c r="AA186" s="6" t="str">
        <f t="shared" si="28"/>
        <v/>
      </c>
      <c r="AB186" s="6" t="str">
        <f t="shared" si="29"/>
        <v/>
      </c>
      <c r="AC186" s="6" t="str">
        <f t="shared" si="30"/>
        <v/>
      </c>
      <c r="AD186" s="6" t="str">
        <f t="shared" si="31"/>
        <v/>
      </c>
      <c r="AE186" s="6" t="str">
        <f t="shared" si="32"/>
        <v/>
      </c>
      <c r="AF186" s="6" t="str">
        <f t="shared" si="33"/>
        <v/>
      </c>
      <c r="AG186" s="6" t="str">
        <f t="shared" si="34"/>
        <v/>
      </c>
      <c r="AH186" s="6" t="str">
        <f t="shared" si="35"/>
        <v/>
      </c>
    </row>
    <row r="187" spans="1:34">
      <c r="A187" s="9"/>
      <c r="C187" s="4" t="str">
        <f>IFERROR(VLOOKUP(B187,'Code Lists'!$A:$B,2,FALSE),"")</f>
        <v/>
      </c>
      <c r="F187" s="4" t="str">
        <f>IFERROR(VLOOKUP(E187,'Code Lists'!$D:$E,2,FALSE),"")</f>
        <v/>
      </c>
      <c r="H187" s="4" t="str">
        <f>IFERROR(VLOOKUP(G187,'Code Lists'!$G:$H,2,FALSE),"")</f>
        <v/>
      </c>
      <c r="J187" s="10"/>
      <c r="M187" s="11"/>
      <c r="Q187" s="7" t="str">
        <f>IF(VedAarnaSKUMaster[[#This Row],[HSN/SAC Code]]=998822,5%,IF(VedAarnaSKUMaster[[#This Row],[HSN/SAC Code]]=998391,18%,IF(VedAarnaSKUMaster[[#This Row],[HSN/SAC Code]]=998723,5%,"")))</f>
        <v/>
      </c>
      <c r="R187" s="5" t="str">
        <f t="shared" si="25"/>
        <v/>
      </c>
      <c r="S187" s="5" t="str">
        <f t="shared" si="26"/>
        <v/>
      </c>
      <c r="T187" s="11"/>
      <c r="U187" s="8" t="str">
        <f>IF(OR(VedAarnaSKUMaster[[#This Row],[Selling Price]]="",VedAarnaSKUMaster[[#This Row],[Selling Price]]=0),"",CEILING(VedAarnaSKUMaster[[#This Row],[Selling Price]]/(1-20%),100)-1)</f>
        <v/>
      </c>
      <c r="V187">
        <f t="shared" si="36"/>
        <v>0</v>
      </c>
      <c r="W187" s="8"/>
      <c r="Z187" s="6" t="str">
        <f t="shared" si="27"/>
        <v/>
      </c>
      <c r="AA187" s="6" t="str">
        <f t="shared" si="28"/>
        <v/>
      </c>
      <c r="AB187" s="6" t="str">
        <f t="shared" si="29"/>
        <v/>
      </c>
      <c r="AC187" s="6" t="str">
        <f t="shared" si="30"/>
        <v/>
      </c>
      <c r="AD187" s="6" t="str">
        <f t="shared" si="31"/>
        <v/>
      </c>
      <c r="AE187" s="6" t="str">
        <f t="shared" si="32"/>
        <v/>
      </c>
      <c r="AF187" s="6" t="str">
        <f t="shared" si="33"/>
        <v/>
      </c>
      <c r="AG187" s="6" t="str">
        <f t="shared" si="34"/>
        <v/>
      </c>
      <c r="AH187" s="6" t="str">
        <f t="shared" si="35"/>
        <v/>
      </c>
    </row>
    <row r="188" spans="1:34">
      <c r="A188" s="9"/>
      <c r="C188" s="4" t="str">
        <f>IFERROR(VLOOKUP(B188,'Code Lists'!$A:$B,2,FALSE),"")</f>
        <v/>
      </c>
      <c r="F188" s="4" t="str">
        <f>IFERROR(VLOOKUP(E188,'Code Lists'!$D:$E,2,FALSE),"")</f>
        <v/>
      </c>
      <c r="H188" s="4" t="str">
        <f>IFERROR(VLOOKUP(G188,'Code Lists'!$G:$H,2,FALSE),"")</f>
        <v/>
      </c>
      <c r="J188" s="10"/>
      <c r="M188" s="11"/>
      <c r="Q188" s="7" t="str">
        <f>IF(VedAarnaSKUMaster[[#This Row],[HSN/SAC Code]]=998822,5%,IF(VedAarnaSKUMaster[[#This Row],[HSN/SAC Code]]=998391,18%,IF(VedAarnaSKUMaster[[#This Row],[HSN/SAC Code]]=998723,5%,"")))</f>
        <v/>
      </c>
      <c r="R188" s="5" t="str">
        <f t="shared" si="25"/>
        <v/>
      </c>
      <c r="S188" s="5" t="str">
        <f t="shared" si="26"/>
        <v/>
      </c>
      <c r="T188" s="11"/>
      <c r="U188" s="8" t="str">
        <f>IF(OR(VedAarnaSKUMaster[[#This Row],[Selling Price]]="",VedAarnaSKUMaster[[#This Row],[Selling Price]]=0),"",CEILING(VedAarnaSKUMaster[[#This Row],[Selling Price]]/(1-20%),100)-1)</f>
        <v/>
      </c>
      <c r="V188">
        <f t="shared" si="36"/>
        <v>0</v>
      </c>
      <c r="W188" s="8"/>
      <c r="Z188" s="6" t="str">
        <f t="shared" si="27"/>
        <v/>
      </c>
      <c r="AA188" s="6" t="str">
        <f t="shared" si="28"/>
        <v/>
      </c>
      <c r="AB188" s="6" t="str">
        <f t="shared" si="29"/>
        <v/>
      </c>
      <c r="AC188" s="6" t="str">
        <f t="shared" si="30"/>
        <v/>
      </c>
      <c r="AD188" s="6" t="str">
        <f t="shared" si="31"/>
        <v/>
      </c>
      <c r="AE188" s="6" t="str">
        <f t="shared" si="32"/>
        <v/>
      </c>
      <c r="AF188" s="6" t="str">
        <f t="shared" si="33"/>
        <v/>
      </c>
      <c r="AG188" s="6" t="str">
        <f t="shared" si="34"/>
        <v/>
      </c>
      <c r="AH188" s="6" t="str">
        <f t="shared" si="35"/>
        <v/>
      </c>
    </row>
    <row r="189" spans="1:34">
      <c r="A189" s="9"/>
      <c r="C189" s="4" t="str">
        <f>IFERROR(VLOOKUP(B189,'Code Lists'!$A:$B,2,FALSE),"")</f>
        <v/>
      </c>
      <c r="F189" s="4" t="str">
        <f>IFERROR(VLOOKUP(E189,'Code Lists'!$D:$E,2,FALSE),"")</f>
        <v/>
      </c>
      <c r="H189" s="4" t="str">
        <f>IFERROR(VLOOKUP(G189,'Code Lists'!$G:$H,2,FALSE),"")</f>
        <v/>
      </c>
      <c r="J189" s="10"/>
      <c r="M189" s="11"/>
      <c r="Q189" s="7" t="str">
        <f>IF(VedAarnaSKUMaster[[#This Row],[HSN/SAC Code]]=998822,5%,IF(VedAarnaSKUMaster[[#This Row],[HSN/SAC Code]]=998391,18%,IF(VedAarnaSKUMaster[[#This Row],[HSN/SAC Code]]=998723,5%,"")))</f>
        <v/>
      </c>
      <c r="R189" s="5" t="str">
        <f t="shared" si="25"/>
        <v/>
      </c>
      <c r="S189" s="5" t="str">
        <f t="shared" si="26"/>
        <v/>
      </c>
      <c r="T189" s="11"/>
      <c r="U189" s="8" t="str">
        <f>IF(OR(VedAarnaSKUMaster[[#This Row],[Selling Price]]="",VedAarnaSKUMaster[[#This Row],[Selling Price]]=0),"",CEILING(VedAarnaSKUMaster[[#This Row],[Selling Price]]/(1-20%),100)-1)</f>
        <v/>
      </c>
      <c r="V189">
        <f t="shared" si="36"/>
        <v>0</v>
      </c>
      <c r="W189" s="8"/>
      <c r="Z189" s="6" t="str">
        <f t="shared" si="27"/>
        <v/>
      </c>
      <c r="AA189" s="6" t="str">
        <f t="shared" si="28"/>
        <v/>
      </c>
      <c r="AB189" s="6" t="str">
        <f t="shared" si="29"/>
        <v/>
      </c>
      <c r="AC189" s="6" t="str">
        <f t="shared" si="30"/>
        <v/>
      </c>
      <c r="AD189" s="6" t="str">
        <f t="shared" si="31"/>
        <v/>
      </c>
      <c r="AE189" s="6" t="str">
        <f t="shared" si="32"/>
        <v/>
      </c>
      <c r="AF189" s="6" t="str">
        <f t="shared" si="33"/>
        <v/>
      </c>
      <c r="AG189" s="6" t="str">
        <f t="shared" si="34"/>
        <v/>
      </c>
      <c r="AH189" s="6" t="str">
        <f t="shared" si="35"/>
        <v/>
      </c>
    </row>
    <row r="190" spans="1:34">
      <c r="A190" s="9"/>
      <c r="C190" s="4" t="str">
        <f>IFERROR(VLOOKUP(B190,'Code Lists'!$A:$B,2,FALSE),"")</f>
        <v/>
      </c>
      <c r="F190" s="4" t="str">
        <f>IFERROR(VLOOKUP(E190,'Code Lists'!$D:$E,2,FALSE),"")</f>
        <v/>
      </c>
      <c r="H190" s="4" t="str">
        <f>IFERROR(VLOOKUP(G190,'Code Lists'!$G:$H,2,FALSE),"")</f>
        <v/>
      </c>
      <c r="J190" s="10"/>
      <c r="M190" s="11"/>
      <c r="Q190" s="7" t="str">
        <f>IF(VedAarnaSKUMaster[[#This Row],[HSN/SAC Code]]=998822,5%,IF(VedAarnaSKUMaster[[#This Row],[HSN/SAC Code]]=998391,18%,IF(VedAarnaSKUMaster[[#This Row],[HSN/SAC Code]]=998723,5%,"")))</f>
        <v/>
      </c>
      <c r="R190" s="5" t="str">
        <f t="shared" si="25"/>
        <v/>
      </c>
      <c r="S190" s="5" t="str">
        <f t="shared" si="26"/>
        <v/>
      </c>
      <c r="T190" s="11"/>
      <c r="U190" s="8" t="str">
        <f>IF(OR(VedAarnaSKUMaster[[#This Row],[Selling Price]]="",VedAarnaSKUMaster[[#This Row],[Selling Price]]=0),"",CEILING(VedAarnaSKUMaster[[#This Row],[Selling Price]]/(1-20%),100)-1)</f>
        <v/>
      </c>
      <c r="V190">
        <f t="shared" si="36"/>
        <v>0</v>
      </c>
      <c r="W190" s="8"/>
      <c r="Z190" s="6" t="str">
        <f t="shared" si="27"/>
        <v/>
      </c>
      <c r="AA190" s="6" t="str">
        <f t="shared" si="28"/>
        <v/>
      </c>
      <c r="AB190" s="6" t="str">
        <f t="shared" si="29"/>
        <v/>
      </c>
      <c r="AC190" s="6" t="str">
        <f t="shared" si="30"/>
        <v/>
      </c>
      <c r="AD190" s="6" t="str">
        <f t="shared" si="31"/>
        <v/>
      </c>
      <c r="AE190" s="6" t="str">
        <f t="shared" si="32"/>
        <v/>
      </c>
      <c r="AF190" s="6" t="str">
        <f t="shared" si="33"/>
        <v/>
      </c>
      <c r="AG190" s="6" t="str">
        <f t="shared" si="34"/>
        <v/>
      </c>
      <c r="AH190" s="6" t="str">
        <f t="shared" si="35"/>
        <v/>
      </c>
    </row>
    <row r="191" spans="1:34">
      <c r="A191" s="9"/>
      <c r="C191" s="4" t="str">
        <f>IFERROR(VLOOKUP(B191,'Code Lists'!$A:$B,2,FALSE),"")</f>
        <v/>
      </c>
      <c r="F191" s="4" t="str">
        <f>IFERROR(VLOOKUP(E191,'Code Lists'!$D:$E,2,FALSE),"")</f>
        <v/>
      </c>
      <c r="H191" s="4" t="str">
        <f>IFERROR(VLOOKUP(G191,'Code Lists'!$G:$H,2,FALSE),"")</f>
        <v/>
      </c>
      <c r="J191" s="10"/>
      <c r="M191" s="11"/>
      <c r="Q191" s="7" t="str">
        <f>IF(VedAarnaSKUMaster[[#This Row],[HSN/SAC Code]]=998822,5%,IF(VedAarnaSKUMaster[[#This Row],[HSN/SAC Code]]=998391,18%,IF(VedAarnaSKUMaster[[#This Row],[HSN/SAC Code]]=998723,5%,"")))</f>
        <v/>
      </c>
      <c r="R191" s="5" t="str">
        <f t="shared" si="25"/>
        <v/>
      </c>
      <c r="S191" s="5" t="str">
        <f t="shared" si="26"/>
        <v/>
      </c>
      <c r="T191" s="11"/>
      <c r="U191" s="8" t="str">
        <f>IF(OR(VedAarnaSKUMaster[[#This Row],[Selling Price]]="",VedAarnaSKUMaster[[#This Row],[Selling Price]]=0),"",CEILING(VedAarnaSKUMaster[[#This Row],[Selling Price]]/(1-20%),100)-1)</f>
        <v/>
      </c>
      <c r="V191">
        <f t="shared" si="36"/>
        <v>0</v>
      </c>
      <c r="W191" s="8"/>
      <c r="Z191" s="6" t="str">
        <f t="shared" si="27"/>
        <v/>
      </c>
      <c r="AA191" s="6" t="str">
        <f t="shared" si="28"/>
        <v/>
      </c>
      <c r="AB191" s="6" t="str">
        <f t="shared" si="29"/>
        <v/>
      </c>
      <c r="AC191" s="6" t="str">
        <f t="shared" si="30"/>
        <v/>
      </c>
      <c r="AD191" s="6" t="str">
        <f t="shared" si="31"/>
        <v/>
      </c>
      <c r="AE191" s="6" t="str">
        <f t="shared" si="32"/>
        <v/>
      </c>
      <c r="AF191" s="6" t="str">
        <f t="shared" si="33"/>
        <v/>
      </c>
      <c r="AG191" s="6" t="str">
        <f t="shared" si="34"/>
        <v/>
      </c>
      <c r="AH191" s="6" t="str">
        <f t="shared" si="35"/>
        <v/>
      </c>
    </row>
    <row r="192" spans="1:34">
      <c r="A192" s="9"/>
      <c r="C192" s="4" t="str">
        <f>IFERROR(VLOOKUP(B192,'Code Lists'!$A:$B,2,FALSE),"")</f>
        <v/>
      </c>
      <c r="F192" s="4" t="str">
        <f>IFERROR(VLOOKUP(E192,'Code Lists'!$D:$E,2,FALSE),"")</f>
        <v/>
      </c>
      <c r="H192" s="4" t="str">
        <f>IFERROR(VLOOKUP(G192,'Code Lists'!$G:$H,2,FALSE),"")</f>
        <v/>
      </c>
      <c r="J192" s="10"/>
      <c r="M192" s="11"/>
      <c r="Q192" s="7" t="str">
        <f>IF(VedAarnaSKUMaster[[#This Row],[HSN/SAC Code]]=998822,5%,IF(VedAarnaSKUMaster[[#This Row],[HSN/SAC Code]]=998391,18%,IF(VedAarnaSKUMaster[[#This Row],[HSN/SAC Code]]=998723,5%,"")))</f>
        <v/>
      </c>
      <c r="R192" s="5" t="str">
        <f t="shared" si="25"/>
        <v/>
      </c>
      <c r="S192" s="5" t="str">
        <f t="shared" si="26"/>
        <v/>
      </c>
      <c r="T192" s="11"/>
      <c r="U192" s="8" t="str">
        <f>IF(OR(VedAarnaSKUMaster[[#This Row],[Selling Price]]="",VedAarnaSKUMaster[[#This Row],[Selling Price]]=0),"",CEILING(VedAarnaSKUMaster[[#This Row],[Selling Price]]/(1-20%),100)-1)</f>
        <v/>
      </c>
      <c r="V192">
        <f t="shared" si="36"/>
        <v>0</v>
      </c>
      <c r="W192" s="8"/>
      <c r="Z192" s="6" t="str">
        <f t="shared" si="27"/>
        <v/>
      </c>
      <c r="AA192" s="6" t="str">
        <f t="shared" si="28"/>
        <v/>
      </c>
      <c r="AB192" s="6" t="str">
        <f t="shared" si="29"/>
        <v/>
      </c>
      <c r="AC192" s="6" t="str">
        <f t="shared" si="30"/>
        <v/>
      </c>
      <c r="AD192" s="6" t="str">
        <f t="shared" si="31"/>
        <v/>
      </c>
      <c r="AE192" s="6" t="str">
        <f t="shared" si="32"/>
        <v/>
      </c>
      <c r="AF192" s="6" t="str">
        <f t="shared" si="33"/>
        <v/>
      </c>
      <c r="AG192" s="6" t="str">
        <f t="shared" si="34"/>
        <v/>
      </c>
      <c r="AH192" s="6" t="str">
        <f t="shared" si="35"/>
        <v/>
      </c>
    </row>
    <row r="193" spans="1:34">
      <c r="A193" s="9"/>
      <c r="C193" s="4" t="str">
        <f>IFERROR(VLOOKUP(B193,'Code Lists'!$A:$B,2,FALSE),"")</f>
        <v/>
      </c>
      <c r="F193" s="4" t="str">
        <f>IFERROR(VLOOKUP(E193,'Code Lists'!$D:$E,2,FALSE),"")</f>
        <v/>
      </c>
      <c r="H193" s="4" t="str">
        <f>IFERROR(VLOOKUP(G193,'Code Lists'!$G:$H,2,FALSE),"")</f>
        <v/>
      </c>
      <c r="J193" s="10"/>
      <c r="M193" s="11"/>
      <c r="Q193" s="7" t="str">
        <f>IF(VedAarnaSKUMaster[[#This Row],[HSN/SAC Code]]=998822,5%,IF(VedAarnaSKUMaster[[#This Row],[HSN/SAC Code]]=998391,18%,IF(VedAarnaSKUMaster[[#This Row],[HSN/SAC Code]]=998723,5%,"")))</f>
        <v/>
      </c>
      <c r="R193" s="5" t="str">
        <f t="shared" ref="R193:R256" si="37">IF(OR(A193="",C193="",H193="",J193=""),"","VS-"&amp;C193&amp;IF(D193&lt;&gt;"","-"&amp;D193,"")&amp;"-"&amp;TEXT(A193,"0000")&amp;"-"&amp;H193&amp;"-"&amp;RIGHT(TEXT(J193,"0000"),2))</f>
        <v/>
      </c>
      <c r="S193" s="5" t="str">
        <f t="shared" ref="S193:S256" si="38">IF(OR(A193="",C193="",F193="",H193="",I193="",J193=""),"","VS-"&amp;C193&amp;IF(D193&lt;&gt;"","-"&amp;D193,"")&amp;"-"&amp;TEXT(A193,"0000")&amp;"-"&amp;F193&amp;"-"&amp;H193&amp;"-"&amp;I193&amp;"-"&amp;RIGHT(TEXT(J193,"0000"),2))</f>
        <v/>
      </c>
      <c r="T193" s="11"/>
      <c r="U193" s="8" t="str">
        <f>IF(OR(VedAarnaSKUMaster[[#This Row],[Selling Price]]="",VedAarnaSKUMaster[[#This Row],[Selling Price]]=0),"",CEILING(VedAarnaSKUMaster[[#This Row],[Selling Price]]/(1-20%),100)-1)</f>
        <v/>
      </c>
      <c r="V193">
        <f t="shared" si="36"/>
        <v>0</v>
      </c>
      <c r="W193" s="8"/>
      <c r="Z193" s="6" t="str">
        <f t="shared" si="27"/>
        <v/>
      </c>
      <c r="AA193" s="6" t="str">
        <f t="shared" si="28"/>
        <v/>
      </c>
      <c r="AB193" s="6" t="str">
        <f t="shared" si="29"/>
        <v/>
      </c>
      <c r="AC193" s="6" t="str">
        <f t="shared" si="30"/>
        <v/>
      </c>
      <c r="AD193" s="6" t="str">
        <f t="shared" si="31"/>
        <v/>
      </c>
      <c r="AE193" s="6" t="str">
        <f t="shared" si="32"/>
        <v/>
      </c>
      <c r="AF193" s="6" t="str">
        <f t="shared" si="33"/>
        <v/>
      </c>
      <c r="AG193" s="6" t="str">
        <f t="shared" si="34"/>
        <v/>
      </c>
      <c r="AH193" s="6" t="str">
        <f t="shared" si="35"/>
        <v/>
      </c>
    </row>
    <row r="194" spans="1:34">
      <c r="A194" s="9"/>
      <c r="C194" s="4" t="str">
        <f>IFERROR(VLOOKUP(B194,'Code Lists'!$A:$B,2,FALSE),"")</f>
        <v/>
      </c>
      <c r="F194" s="4" t="str">
        <f>IFERROR(VLOOKUP(E194,'Code Lists'!$D:$E,2,FALSE),"")</f>
        <v/>
      </c>
      <c r="H194" s="4" t="str">
        <f>IFERROR(VLOOKUP(G194,'Code Lists'!$G:$H,2,FALSE),"")</f>
        <v/>
      </c>
      <c r="J194" s="10"/>
      <c r="M194" s="11"/>
      <c r="Q194" s="7" t="str">
        <f>IF(VedAarnaSKUMaster[[#This Row],[HSN/SAC Code]]=998822,5%,IF(VedAarnaSKUMaster[[#This Row],[HSN/SAC Code]]=998391,18%,IF(VedAarnaSKUMaster[[#This Row],[HSN/SAC Code]]=998723,5%,"")))</f>
        <v/>
      </c>
      <c r="R194" s="5" t="str">
        <f t="shared" si="37"/>
        <v/>
      </c>
      <c r="S194" s="5" t="str">
        <f t="shared" si="38"/>
        <v/>
      </c>
      <c r="T194" s="11"/>
      <c r="U194" s="8" t="str">
        <f>IF(OR(VedAarnaSKUMaster[[#This Row],[Selling Price]]="",VedAarnaSKUMaster[[#This Row],[Selling Price]]=0),"",CEILING(VedAarnaSKUMaster[[#This Row],[Selling Price]]/(1-20%),100)-1)</f>
        <v/>
      </c>
      <c r="V194">
        <f t="shared" si="36"/>
        <v>0</v>
      </c>
      <c r="W194" s="8"/>
      <c r="Z194" s="6" t="str">
        <f t="shared" ref="Z194:Z257" si="39">IF($R194="","",$R194&amp;"-01-FR.png")</f>
        <v/>
      </c>
      <c r="AA194" s="6" t="str">
        <f t="shared" ref="AA194:AA257" si="40">IF($R194="","",$R194&amp;"-02-SD.png")</f>
        <v/>
      </c>
      <c r="AB194" s="6" t="str">
        <f t="shared" ref="AB194:AB257" si="41">IF($R194="","",$R194&amp;"-03-BK.png")</f>
        <v/>
      </c>
      <c r="AC194" s="6" t="str">
        <f t="shared" ref="AC194:AC257" si="42">IF($R194="","",$R194&amp;"-04-CD.png")</f>
        <v/>
      </c>
      <c r="AD194" s="6" t="str">
        <f t="shared" ref="AD194:AD257" si="43">IF($R194="","",$R194&amp;"-05-WK.png")</f>
        <v/>
      </c>
      <c r="AE194" s="6" t="str">
        <f t="shared" ref="AE194:AE257" si="44">IF($R194="","",$R194&amp;"-06-ST.png")</f>
        <v/>
      </c>
      <c r="AF194" s="6" t="str">
        <f t="shared" ref="AF194:AF257" si="45">IF($R194="","",$R194&amp;"-FB.png")</f>
        <v/>
      </c>
      <c r="AG194" s="6" t="str">
        <f t="shared" ref="AG194:AG257" si="46">IF($R194="","",$R194&amp;"-DT.png")</f>
        <v/>
      </c>
      <c r="AH194" s="6" t="str">
        <f t="shared" ref="AH194:AH257" si="47">IF($R194="","",$R194&amp;"-REF-01.png")</f>
        <v/>
      </c>
    </row>
    <row r="195" spans="1:34">
      <c r="A195" s="9"/>
      <c r="C195" s="4" t="str">
        <f>IFERROR(VLOOKUP(B195,'Code Lists'!$A:$B,2,FALSE),"")</f>
        <v/>
      </c>
      <c r="F195" s="4" t="str">
        <f>IFERROR(VLOOKUP(E195,'Code Lists'!$D:$E,2,FALSE),"")</f>
        <v/>
      </c>
      <c r="H195" s="4" t="str">
        <f>IFERROR(VLOOKUP(G195,'Code Lists'!$G:$H,2,FALSE),"")</f>
        <v/>
      </c>
      <c r="J195" s="10"/>
      <c r="M195" s="11"/>
      <c r="Q195" s="7" t="str">
        <f>IF(VedAarnaSKUMaster[[#This Row],[HSN/SAC Code]]=998822,5%,IF(VedAarnaSKUMaster[[#This Row],[HSN/SAC Code]]=998391,18%,IF(VedAarnaSKUMaster[[#This Row],[HSN/SAC Code]]=998723,5%,"")))</f>
        <v/>
      </c>
      <c r="R195" s="5" t="str">
        <f t="shared" si="37"/>
        <v/>
      </c>
      <c r="S195" s="5" t="str">
        <f t="shared" si="38"/>
        <v/>
      </c>
      <c r="T195" s="11"/>
      <c r="U195" s="8" t="str">
        <f>IF(OR(VedAarnaSKUMaster[[#This Row],[Selling Price]]="",VedAarnaSKUMaster[[#This Row],[Selling Price]]=0),"",CEILING(VedAarnaSKUMaster[[#This Row],[Selling Price]]/(1-20%),100)-1)</f>
        <v/>
      </c>
      <c r="V195">
        <f t="shared" ref="V195:V258" si="48">ROUND(W195/(1-50%),-2)</f>
        <v>0</v>
      </c>
      <c r="W195" s="8"/>
      <c r="Z195" s="6" t="str">
        <f t="shared" si="39"/>
        <v/>
      </c>
      <c r="AA195" s="6" t="str">
        <f t="shared" si="40"/>
        <v/>
      </c>
      <c r="AB195" s="6" t="str">
        <f t="shared" si="41"/>
        <v/>
      </c>
      <c r="AC195" s="6" t="str">
        <f t="shared" si="42"/>
        <v/>
      </c>
      <c r="AD195" s="6" t="str">
        <f t="shared" si="43"/>
        <v/>
      </c>
      <c r="AE195" s="6" t="str">
        <f t="shared" si="44"/>
        <v/>
      </c>
      <c r="AF195" s="6" t="str">
        <f t="shared" si="45"/>
        <v/>
      </c>
      <c r="AG195" s="6" t="str">
        <f t="shared" si="46"/>
        <v/>
      </c>
      <c r="AH195" s="6" t="str">
        <f t="shared" si="47"/>
        <v/>
      </c>
    </row>
    <row r="196" spans="1:34">
      <c r="A196" s="9"/>
      <c r="C196" s="4" t="str">
        <f>IFERROR(VLOOKUP(B196,'Code Lists'!$A:$B,2,FALSE),"")</f>
        <v/>
      </c>
      <c r="F196" s="4" t="str">
        <f>IFERROR(VLOOKUP(E196,'Code Lists'!$D:$E,2,FALSE),"")</f>
        <v/>
      </c>
      <c r="H196" s="4" t="str">
        <f>IFERROR(VLOOKUP(G196,'Code Lists'!$G:$H,2,FALSE),"")</f>
        <v/>
      </c>
      <c r="J196" s="10"/>
      <c r="M196" s="11"/>
      <c r="Q196" s="7" t="str">
        <f>IF(VedAarnaSKUMaster[[#This Row],[HSN/SAC Code]]=998822,5%,IF(VedAarnaSKUMaster[[#This Row],[HSN/SAC Code]]=998391,18%,IF(VedAarnaSKUMaster[[#This Row],[HSN/SAC Code]]=998723,5%,"")))</f>
        <v/>
      </c>
      <c r="R196" s="5" t="str">
        <f t="shared" si="37"/>
        <v/>
      </c>
      <c r="S196" s="5" t="str">
        <f t="shared" si="38"/>
        <v/>
      </c>
      <c r="T196" s="11"/>
      <c r="U196" s="8" t="str">
        <f>IF(OR(VedAarnaSKUMaster[[#This Row],[Selling Price]]="",VedAarnaSKUMaster[[#This Row],[Selling Price]]=0),"",CEILING(VedAarnaSKUMaster[[#This Row],[Selling Price]]/(1-20%),100)-1)</f>
        <v/>
      </c>
      <c r="V196">
        <f t="shared" si="48"/>
        <v>0</v>
      </c>
      <c r="W196" s="8"/>
      <c r="Z196" s="6" t="str">
        <f t="shared" si="39"/>
        <v/>
      </c>
      <c r="AA196" s="6" t="str">
        <f t="shared" si="40"/>
        <v/>
      </c>
      <c r="AB196" s="6" t="str">
        <f t="shared" si="41"/>
        <v/>
      </c>
      <c r="AC196" s="6" t="str">
        <f t="shared" si="42"/>
        <v/>
      </c>
      <c r="AD196" s="6" t="str">
        <f t="shared" si="43"/>
        <v/>
      </c>
      <c r="AE196" s="6" t="str">
        <f t="shared" si="44"/>
        <v/>
      </c>
      <c r="AF196" s="6" t="str">
        <f t="shared" si="45"/>
        <v/>
      </c>
      <c r="AG196" s="6" t="str">
        <f t="shared" si="46"/>
        <v/>
      </c>
      <c r="AH196" s="6" t="str">
        <f t="shared" si="47"/>
        <v/>
      </c>
    </row>
    <row r="197" spans="1:34">
      <c r="A197" s="9"/>
      <c r="C197" s="4" t="str">
        <f>IFERROR(VLOOKUP(B197,'Code Lists'!$A:$B,2,FALSE),"")</f>
        <v/>
      </c>
      <c r="F197" s="4" t="str">
        <f>IFERROR(VLOOKUP(E197,'Code Lists'!$D:$E,2,FALSE),"")</f>
        <v/>
      </c>
      <c r="H197" s="4" t="str">
        <f>IFERROR(VLOOKUP(G197,'Code Lists'!$G:$H,2,FALSE),"")</f>
        <v/>
      </c>
      <c r="J197" s="10"/>
      <c r="M197" s="11"/>
      <c r="Q197" s="7" t="str">
        <f>IF(VedAarnaSKUMaster[[#This Row],[HSN/SAC Code]]=998822,5%,IF(VedAarnaSKUMaster[[#This Row],[HSN/SAC Code]]=998391,18%,IF(VedAarnaSKUMaster[[#This Row],[HSN/SAC Code]]=998723,5%,"")))</f>
        <v/>
      </c>
      <c r="R197" s="5" t="str">
        <f t="shared" si="37"/>
        <v/>
      </c>
      <c r="S197" s="5" t="str">
        <f t="shared" si="38"/>
        <v/>
      </c>
      <c r="T197" s="11"/>
      <c r="U197" s="8" t="str">
        <f>IF(OR(VedAarnaSKUMaster[[#This Row],[Selling Price]]="",VedAarnaSKUMaster[[#This Row],[Selling Price]]=0),"",CEILING(VedAarnaSKUMaster[[#This Row],[Selling Price]]/(1-20%),100)-1)</f>
        <v/>
      </c>
      <c r="V197">
        <f t="shared" si="48"/>
        <v>0</v>
      </c>
      <c r="W197" s="8"/>
      <c r="Z197" s="6" t="str">
        <f t="shared" si="39"/>
        <v/>
      </c>
      <c r="AA197" s="6" t="str">
        <f t="shared" si="40"/>
        <v/>
      </c>
      <c r="AB197" s="6" t="str">
        <f t="shared" si="41"/>
        <v/>
      </c>
      <c r="AC197" s="6" t="str">
        <f t="shared" si="42"/>
        <v/>
      </c>
      <c r="AD197" s="6" t="str">
        <f t="shared" si="43"/>
        <v/>
      </c>
      <c r="AE197" s="6" t="str">
        <f t="shared" si="44"/>
        <v/>
      </c>
      <c r="AF197" s="6" t="str">
        <f t="shared" si="45"/>
        <v/>
      </c>
      <c r="AG197" s="6" t="str">
        <f t="shared" si="46"/>
        <v/>
      </c>
      <c r="AH197" s="6" t="str">
        <f t="shared" si="47"/>
        <v/>
      </c>
    </row>
    <row r="198" spans="1:34">
      <c r="A198" s="9"/>
      <c r="C198" s="4" t="str">
        <f>IFERROR(VLOOKUP(B198,'Code Lists'!$A:$B,2,FALSE),"")</f>
        <v/>
      </c>
      <c r="F198" s="4" t="str">
        <f>IFERROR(VLOOKUP(E198,'Code Lists'!$D:$E,2,FALSE),"")</f>
        <v/>
      </c>
      <c r="H198" s="4" t="str">
        <f>IFERROR(VLOOKUP(G198,'Code Lists'!$G:$H,2,FALSE),"")</f>
        <v/>
      </c>
      <c r="J198" s="10"/>
      <c r="M198" s="11"/>
      <c r="Q198" s="7" t="str">
        <f>IF(VedAarnaSKUMaster[[#This Row],[HSN/SAC Code]]=998822,5%,IF(VedAarnaSKUMaster[[#This Row],[HSN/SAC Code]]=998391,18%,IF(VedAarnaSKUMaster[[#This Row],[HSN/SAC Code]]=998723,5%,"")))</f>
        <v/>
      </c>
      <c r="R198" s="5" t="str">
        <f t="shared" si="37"/>
        <v/>
      </c>
      <c r="S198" s="5" t="str">
        <f t="shared" si="38"/>
        <v/>
      </c>
      <c r="T198" s="11"/>
      <c r="U198" s="8" t="str">
        <f>IF(OR(VedAarnaSKUMaster[[#This Row],[Selling Price]]="",VedAarnaSKUMaster[[#This Row],[Selling Price]]=0),"",CEILING(VedAarnaSKUMaster[[#This Row],[Selling Price]]/(1-20%),100)-1)</f>
        <v/>
      </c>
      <c r="V198">
        <f t="shared" si="48"/>
        <v>0</v>
      </c>
      <c r="W198" s="8"/>
      <c r="Z198" s="6" t="str">
        <f t="shared" si="39"/>
        <v/>
      </c>
      <c r="AA198" s="6" t="str">
        <f t="shared" si="40"/>
        <v/>
      </c>
      <c r="AB198" s="6" t="str">
        <f t="shared" si="41"/>
        <v/>
      </c>
      <c r="AC198" s="6" t="str">
        <f t="shared" si="42"/>
        <v/>
      </c>
      <c r="AD198" s="6" t="str">
        <f t="shared" si="43"/>
        <v/>
      </c>
      <c r="AE198" s="6" t="str">
        <f t="shared" si="44"/>
        <v/>
      </c>
      <c r="AF198" s="6" t="str">
        <f t="shared" si="45"/>
        <v/>
      </c>
      <c r="AG198" s="6" t="str">
        <f t="shared" si="46"/>
        <v/>
      </c>
      <c r="AH198" s="6" t="str">
        <f t="shared" si="47"/>
        <v/>
      </c>
    </row>
    <row r="199" spans="1:34">
      <c r="A199" s="9"/>
      <c r="C199" s="4" t="str">
        <f>IFERROR(VLOOKUP(B199,'Code Lists'!$A:$B,2,FALSE),"")</f>
        <v/>
      </c>
      <c r="F199" s="4" t="str">
        <f>IFERROR(VLOOKUP(E199,'Code Lists'!$D:$E,2,FALSE),"")</f>
        <v/>
      </c>
      <c r="H199" s="4" t="str">
        <f>IFERROR(VLOOKUP(G199,'Code Lists'!$G:$H,2,FALSE),"")</f>
        <v/>
      </c>
      <c r="J199" s="10"/>
      <c r="M199" s="11"/>
      <c r="Q199" s="7" t="str">
        <f>IF(VedAarnaSKUMaster[[#This Row],[HSN/SAC Code]]=998822,5%,IF(VedAarnaSKUMaster[[#This Row],[HSN/SAC Code]]=998391,18%,IF(VedAarnaSKUMaster[[#This Row],[HSN/SAC Code]]=998723,5%,"")))</f>
        <v/>
      </c>
      <c r="R199" s="5" t="str">
        <f t="shared" si="37"/>
        <v/>
      </c>
      <c r="S199" s="5" t="str">
        <f t="shared" si="38"/>
        <v/>
      </c>
      <c r="T199" s="11"/>
      <c r="U199" s="8" t="str">
        <f>IF(OR(VedAarnaSKUMaster[[#This Row],[Selling Price]]="",VedAarnaSKUMaster[[#This Row],[Selling Price]]=0),"",CEILING(VedAarnaSKUMaster[[#This Row],[Selling Price]]/(1-20%),100)-1)</f>
        <v/>
      </c>
      <c r="V199">
        <f t="shared" si="48"/>
        <v>0</v>
      </c>
      <c r="W199" s="8"/>
      <c r="Z199" s="6" t="str">
        <f t="shared" si="39"/>
        <v/>
      </c>
      <c r="AA199" s="6" t="str">
        <f t="shared" si="40"/>
        <v/>
      </c>
      <c r="AB199" s="6" t="str">
        <f t="shared" si="41"/>
        <v/>
      </c>
      <c r="AC199" s="6" t="str">
        <f t="shared" si="42"/>
        <v/>
      </c>
      <c r="AD199" s="6" t="str">
        <f t="shared" si="43"/>
        <v/>
      </c>
      <c r="AE199" s="6" t="str">
        <f t="shared" si="44"/>
        <v/>
      </c>
      <c r="AF199" s="6" t="str">
        <f t="shared" si="45"/>
        <v/>
      </c>
      <c r="AG199" s="6" t="str">
        <f t="shared" si="46"/>
        <v/>
      </c>
      <c r="AH199" s="6" t="str">
        <f t="shared" si="47"/>
        <v/>
      </c>
    </row>
    <row r="200" spans="1:34">
      <c r="A200" s="9"/>
      <c r="C200" s="4" t="str">
        <f>IFERROR(VLOOKUP(B200,'Code Lists'!$A:$B,2,FALSE),"")</f>
        <v/>
      </c>
      <c r="F200" s="4" t="str">
        <f>IFERROR(VLOOKUP(E200,'Code Lists'!$D:$E,2,FALSE),"")</f>
        <v/>
      </c>
      <c r="H200" s="4" t="str">
        <f>IFERROR(VLOOKUP(G200,'Code Lists'!$G:$H,2,FALSE),"")</f>
        <v/>
      </c>
      <c r="J200" s="10"/>
      <c r="M200" s="11"/>
      <c r="Q200" s="7" t="str">
        <f>IF(VedAarnaSKUMaster[[#This Row],[HSN/SAC Code]]=998822,5%,IF(VedAarnaSKUMaster[[#This Row],[HSN/SAC Code]]=998391,18%,IF(VedAarnaSKUMaster[[#This Row],[HSN/SAC Code]]=998723,5%,"")))</f>
        <v/>
      </c>
      <c r="R200" s="5" t="str">
        <f t="shared" si="37"/>
        <v/>
      </c>
      <c r="S200" s="5" t="str">
        <f t="shared" si="38"/>
        <v/>
      </c>
      <c r="T200" s="11"/>
      <c r="U200" s="8" t="str">
        <f>IF(OR(VedAarnaSKUMaster[[#This Row],[Selling Price]]="",VedAarnaSKUMaster[[#This Row],[Selling Price]]=0),"",CEILING(VedAarnaSKUMaster[[#This Row],[Selling Price]]/(1-20%),100)-1)</f>
        <v/>
      </c>
      <c r="V200">
        <f t="shared" si="48"/>
        <v>0</v>
      </c>
      <c r="W200" s="8"/>
      <c r="Z200" s="6" t="str">
        <f t="shared" si="39"/>
        <v/>
      </c>
      <c r="AA200" s="6" t="str">
        <f t="shared" si="40"/>
        <v/>
      </c>
      <c r="AB200" s="6" t="str">
        <f t="shared" si="41"/>
        <v/>
      </c>
      <c r="AC200" s="6" t="str">
        <f t="shared" si="42"/>
        <v/>
      </c>
      <c r="AD200" s="6" t="str">
        <f t="shared" si="43"/>
        <v/>
      </c>
      <c r="AE200" s="6" t="str">
        <f t="shared" si="44"/>
        <v/>
      </c>
      <c r="AF200" s="6" t="str">
        <f t="shared" si="45"/>
        <v/>
      </c>
      <c r="AG200" s="6" t="str">
        <f t="shared" si="46"/>
        <v/>
      </c>
      <c r="AH200" s="6" t="str">
        <f t="shared" si="47"/>
        <v/>
      </c>
    </row>
    <row r="201" spans="1:34">
      <c r="A201" s="9"/>
      <c r="C201" s="4" t="str">
        <f>IFERROR(VLOOKUP(B201,'Code Lists'!$A:$B,2,FALSE),"")</f>
        <v/>
      </c>
      <c r="F201" s="4" t="str">
        <f>IFERROR(VLOOKUP(E201,'Code Lists'!$D:$E,2,FALSE),"")</f>
        <v/>
      </c>
      <c r="H201" s="4" t="str">
        <f>IFERROR(VLOOKUP(G201,'Code Lists'!$G:$H,2,FALSE),"")</f>
        <v/>
      </c>
      <c r="J201" s="10"/>
      <c r="M201" s="11"/>
      <c r="Q201" s="7" t="str">
        <f>IF(VedAarnaSKUMaster[[#This Row],[HSN/SAC Code]]=998822,5%,IF(VedAarnaSKUMaster[[#This Row],[HSN/SAC Code]]=998391,18%,IF(VedAarnaSKUMaster[[#This Row],[HSN/SAC Code]]=998723,5%,"")))</f>
        <v/>
      </c>
      <c r="R201" s="5" t="str">
        <f t="shared" si="37"/>
        <v/>
      </c>
      <c r="S201" s="5" t="str">
        <f t="shared" si="38"/>
        <v/>
      </c>
      <c r="T201" s="11"/>
      <c r="U201" s="8" t="str">
        <f>IF(OR(VedAarnaSKUMaster[[#This Row],[Selling Price]]="",VedAarnaSKUMaster[[#This Row],[Selling Price]]=0),"",CEILING(VedAarnaSKUMaster[[#This Row],[Selling Price]]/(1-20%),100)-1)</f>
        <v/>
      </c>
      <c r="V201">
        <f t="shared" si="48"/>
        <v>0</v>
      </c>
      <c r="W201" s="8"/>
      <c r="Z201" s="6" t="str">
        <f t="shared" si="39"/>
        <v/>
      </c>
      <c r="AA201" s="6" t="str">
        <f t="shared" si="40"/>
        <v/>
      </c>
      <c r="AB201" s="6" t="str">
        <f t="shared" si="41"/>
        <v/>
      </c>
      <c r="AC201" s="6" t="str">
        <f t="shared" si="42"/>
        <v/>
      </c>
      <c r="AD201" s="6" t="str">
        <f t="shared" si="43"/>
        <v/>
      </c>
      <c r="AE201" s="6" t="str">
        <f t="shared" si="44"/>
        <v/>
      </c>
      <c r="AF201" s="6" t="str">
        <f t="shared" si="45"/>
        <v/>
      </c>
      <c r="AG201" s="6" t="str">
        <f t="shared" si="46"/>
        <v/>
      </c>
      <c r="AH201" s="6" t="str">
        <f t="shared" si="47"/>
        <v/>
      </c>
    </row>
    <row r="202" spans="1:34">
      <c r="A202" s="9"/>
      <c r="C202" s="4" t="str">
        <f>IFERROR(VLOOKUP(B202,'Code Lists'!$A:$B,2,FALSE),"")</f>
        <v/>
      </c>
      <c r="F202" s="4" t="str">
        <f>IFERROR(VLOOKUP(E202,'Code Lists'!$D:$E,2,FALSE),"")</f>
        <v/>
      </c>
      <c r="H202" s="4" t="str">
        <f>IFERROR(VLOOKUP(G202,'Code Lists'!$G:$H,2,FALSE),"")</f>
        <v/>
      </c>
      <c r="J202" s="10"/>
      <c r="M202" s="11"/>
      <c r="Q202" s="7" t="str">
        <f>IF(VedAarnaSKUMaster[[#This Row],[HSN/SAC Code]]=998822,5%,IF(VedAarnaSKUMaster[[#This Row],[HSN/SAC Code]]=998391,18%,IF(VedAarnaSKUMaster[[#This Row],[HSN/SAC Code]]=998723,5%,"")))</f>
        <v/>
      </c>
      <c r="R202" s="5" t="str">
        <f t="shared" si="37"/>
        <v/>
      </c>
      <c r="S202" s="5" t="str">
        <f t="shared" si="38"/>
        <v/>
      </c>
      <c r="T202" s="11"/>
      <c r="U202" s="8" t="str">
        <f>IF(OR(VedAarnaSKUMaster[[#This Row],[Selling Price]]="",VedAarnaSKUMaster[[#This Row],[Selling Price]]=0),"",CEILING(VedAarnaSKUMaster[[#This Row],[Selling Price]]/(1-20%),100)-1)</f>
        <v/>
      </c>
      <c r="V202">
        <f t="shared" si="48"/>
        <v>0</v>
      </c>
      <c r="W202" s="8"/>
      <c r="Z202" s="6" t="str">
        <f t="shared" si="39"/>
        <v/>
      </c>
      <c r="AA202" s="6" t="str">
        <f t="shared" si="40"/>
        <v/>
      </c>
      <c r="AB202" s="6" t="str">
        <f t="shared" si="41"/>
        <v/>
      </c>
      <c r="AC202" s="6" t="str">
        <f t="shared" si="42"/>
        <v/>
      </c>
      <c r="AD202" s="6" t="str">
        <f t="shared" si="43"/>
        <v/>
      </c>
      <c r="AE202" s="6" t="str">
        <f t="shared" si="44"/>
        <v/>
      </c>
      <c r="AF202" s="6" t="str">
        <f t="shared" si="45"/>
        <v/>
      </c>
      <c r="AG202" s="6" t="str">
        <f t="shared" si="46"/>
        <v/>
      </c>
      <c r="AH202" s="6" t="str">
        <f t="shared" si="47"/>
        <v/>
      </c>
    </row>
    <row r="203" spans="1:34">
      <c r="A203" s="9"/>
      <c r="C203" s="4" t="str">
        <f>IFERROR(VLOOKUP(B203,'Code Lists'!$A:$B,2,FALSE),"")</f>
        <v/>
      </c>
      <c r="F203" s="4" t="str">
        <f>IFERROR(VLOOKUP(E203,'Code Lists'!$D:$E,2,FALSE),"")</f>
        <v/>
      </c>
      <c r="H203" s="4" t="str">
        <f>IFERROR(VLOOKUP(G203,'Code Lists'!$G:$H,2,FALSE),"")</f>
        <v/>
      </c>
      <c r="J203" s="10"/>
      <c r="M203" s="11"/>
      <c r="Q203" s="7" t="str">
        <f>IF(VedAarnaSKUMaster[[#This Row],[HSN/SAC Code]]=998822,5%,IF(VedAarnaSKUMaster[[#This Row],[HSN/SAC Code]]=998391,18%,IF(VedAarnaSKUMaster[[#This Row],[HSN/SAC Code]]=998723,5%,"")))</f>
        <v/>
      </c>
      <c r="R203" s="5" t="str">
        <f t="shared" si="37"/>
        <v/>
      </c>
      <c r="S203" s="5" t="str">
        <f t="shared" si="38"/>
        <v/>
      </c>
      <c r="T203" s="11"/>
      <c r="U203" s="8" t="str">
        <f>IF(OR(VedAarnaSKUMaster[[#This Row],[Selling Price]]="",VedAarnaSKUMaster[[#This Row],[Selling Price]]=0),"",CEILING(VedAarnaSKUMaster[[#This Row],[Selling Price]]/(1-20%),100)-1)</f>
        <v/>
      </c>
      <c r="V203">
        <f t="shared" si="48"/>
        <v>0</v>
      </c>
      <c r="W203" s="8"/>
      <c r="Z203" s="6" t="str">
        <f t="shared" si="39"/>
        <v/>
      </c>
      <c r="AA203" s="6" t="str">
        <f t="shared" si="40"/>
        <v/>
      </c>
      <c r="AB203" s="6" t="str">
        <f t="shared" si="41"/>
        <v/>
      </c>
      <c r="AC203" s="6" t="str">
        <f t="shared" si="42"/>
        <v/>
      </c>
      <c r="AD203" s="6" t="str">
        <f t="shared" si="43"/>
        <v/>
      </c>
      <c r="AE203" s="6" t="str">
        <f t="shared" si="44"/>
        <v/>
      </c>
      <c r="AF203" s="6" t="str">
        <f t="shared" si="45"/>
        <v/>
      </c>
      <c r="AG203" s="6" t="str">
        <f t="shared" si="46"/>
        <v/>
      </c>
      <c r="AH203" s="6" t="str">
        <f t="shared" si="47"/>
        <v/>
      </c>
    </row>
    <row r="204" spans="1:34">
      <c r="A204" s="9"/>
      <c r="C204" s="4" t="str">
        <f>IFERROR(VLOOKUP(B204,'Code Lists'!$A:$B,2,FALSE),"")</f>
        <v/>
      </c>
      <c r="F204" s="4" t="str">
        <f>IFERROR(VLOOKUP(E204,'Code Lists'!$D:$E,2,FALSE),"")</f>
        <v/>
      </c>
      <c r="H204" s="4" t="str">
        <f>IFERROR(VLOOKUP(G204,'Code Lists'!$G:$H,2,FALSE),"")</f>
        <v/>
      </c>
      <c r="J204" s="10"/>
      <c r="M204" s="11"/>
      <c r="Q204" s="7" t="str">
        <f>IF(VedAarnaSKUMaster[[#This Row],[HSN/SAC Code]]=998822,5%,IF(VedAarnaSKUMaster[[#This Row],[HSN/SAC Code]]=998391,18%,IF(VedAarnaSKUMaster[[#This Row],[HSN/SAC Code]]=998723,5%,"")))</f>
        <v/>
      </c>
      <c r="R204" s="5" t="str">
        <f t="shared" si="37"/>
        <v/>
      </c>
      <c r="S204" s="5" t="str">
        <f t="shared" si="38"/>
        <v/>
      </c>
      <c r="T204" s="11"/>
      <c r="U204" s="8" t="str">
        <f>IF(OR(VedAarnaSKUMaster[[#This Row],[Selling Price]]="",VedAarnaSKUMaster[[#This Row],[Selling Price]]=0),"",CEILING(VedAarnaSKUMaster[[#This Row],[Selling Price]]/(1-20%),100)-1)</f>
        <v/>
      </c>
      <c r="V204">
        <f t="shared" si="48"/>
        <v>0</v>
      </c>
      <c r="W204" s="8"/>
      <c r="Z204" s="6" t="str">
        <f t="shared" si="39"/>
        <v/>
      </c>
      <c r="AA204" s="6" t="str">
        <f t="shared" si="40"/>
        <v/>
      </c>
      <c r="AB204" s="6" t="str">
        <f t="shared" si="41"/>
        <v/>
      </c>
      <c r="AC204" s="6" t="str">
        <f t="shared" si="42"/>
        <v/>
      </c>
      <c r="AD204" s="6" t="str">
        <f t="shared" si="43"/>
        <v/>
      </c>
      <c r="AE204" s="6" t="str">
        <f t="shared" si="44"/>
        <v/>
      </c>
      <c r="AF204" s="6" t="str">
        <f t="shared" si="45"/>
        <v/>
      </c>
      <c r="AG204" s="6" t="str">
        <f t="shared" si="46"/>
        <v/>
      </c>
      <c r="AH204" s="6" t="str">
        <f t="shared" si="47"/>
        <v/>
      </c>
    </row>
    <row r="205" spans="1:34">
      <c r="A205" s="9"/>
      <c r="C205" s="4" t="str">
        <f>IFERROR(VLOOKUP(B205,'Code Lists'!$A:$B,2,FALSE),"")</f>
        <v/>
      </c>
      <c r="F205" s="4" t="str">
        <f>IFERROR(VLOOKUP(E205,'Code Lists'!$D:$E,2,FALSE),"")</f>
        <v/>
      </c>
      <c r="H205" s="4" t="str">
        <f>IFERROR(VLOOKUP(G205,'Code Lists'!$G:$H,2,FALSE),"")</f>
        <v/>
      </c>
      <c r="J205" s="10"/>
      <c r="M205" s="11"/>
      <c r="Q205" s="7" t="str">
        <f>IF(VedAarnaSKUMaster[[#This Row],[HSN/SAC Code]]=998822,5%,IF(VedAarnaSKUMaster[[#This Row],[HSN/SAC Code]]=998391,18%,IF(VedAarnaSKUMaster[[#This Row],[HSN/SAC Code]]=998723,5%,"")))</f>
        <v/>
      </c>
      <c r="R205" s="5" t="str">
        <f t="shared" si="37"/>
        <v/>
      </c>
      <c r="S205" s="5" t="str">
        <f t="shared" si="38"/>
        <v/>
      </c>
      <c r="T205" s="11"/>
      <c r="U205" s="8" t="str">
        <f>IF(OR(VedAarnaSKUMaster[[#This Row],[Selling Price]]="",VedAarnaSKUMaster[[#This Row],[Selling Price]]=0),"",CEILING(VedAarnaSKUMaster[[#This Row],[Selling Price]]/(1-20%),100)-1)</f>
        <v/>
      </c>
      <c r="V205">
        <f t="shared" si="48"/>
        <v>0</v>
      </c>
      <c r="W205" s="8"/>
      <c r="Z205" s="6" t="str">
        <f t="shared" si="39"/>
        <v/>
      </c>
      <c r="AA205" s="6" t="str">
        <f t="shared" si="40"/>
        <v/>
      </c>
      <c r="AB205" s="6" t="str">
        <f t="shared" si="41"/>
        <v/>
      </c>
      <c r="AC205" s="6" t="str">
        <f t="shared" si="42"/>
        <v/>
      </c>
      <c r="AD205" s="6" t="str">
        <f t="shared" si="43"/>
        <v/>
      </c>
      <c r="AE205" s="6" t="str">
        <f t="shared" si="44"/>
        <v/>
      </c>
      <c r="AF205" s="6" t="str">
        <f t="shared" si="45"/>
        <v/>
      </c>
      <c r="AG205" s="6" t="str">
        <f t="shared" si="46"/>
        <v/>
      </c>
      <c r="AH205" s="6" t="str">
        <f t="shared" si="47"/>
        <v/>
      </c>
    </row>
    <row r="206" spans="1:34">
      <c r="A206" s="9"/>
      <c r="C206" s="4" t="str">
        <f>IFERROR(VLOOKUP(B206,'Code Lists'!$A:$B,2,FALSE),"")</f>
        <v/>
      </c>
      <c r="F206" s="4" t="str">
        <f>IFERROR(VLOOKUP(E206,'Code Lists'!$D:$E,2,FALSE),"")</f>
        <v/>
      </c>
      <c r="H206" s="4" t="str">
        <f>IFERROR(VLOOKUP(G206,'Code Lists'!$G:$H,2,FALSE),"")</f>
        <v/>
      </c>
      <c r="J206" s="10"/>
      <c r="M206" s="11"/>
      <c r="Q206" s="7" t="str">
        <f>IF(VedAarnaSKUMaster[[#This Row],[HSN/SAC Code]]=998822,5%,IF(VedAarnaSKUMaster[[#This Row],[HSN/SAC Code]]=998391,18%,IF(VedAarnaSKUMaster[[#This Row],[HSN/SAC Code]]=998723,5%,"")))</f>
        <v/>
      </c>
      <c r="R206" s="5" t="str">
        <f t="shared" si="37"/>
        <v/>
      </c>
      <c r="S206" s="5" t="str">
        <f t="shared" si="38"/>
        <v/>
      </c>
      <c r="T206" s="11"/>
      <c r="U206" s="8" t="str">
        <f>IF(OR(VedAarnaSKUMaster[[#This Row],[Selling Price]]="",VedAarnaSKUMaster[[#This Row],[Selling Price]]=0),"",CEILING(VedAarnaSKUMaster[[#This Row],[Selling Price]]/(1-20%),100)-1)</f>
        <v/>
      </c>
      <c r="V206">
        <f t="shared" si="48"/>
        <v>0</v>
      </c>
      <c r="W206" s="8"/>
      <c r="Z206" s="6" t="str">
        <f t="shared" si="39"/>
        <v/>
      </c>
      <c r="AA206" s="6" t="str">
        <f t="shared" si="40"/>
        <v/>
      </c>
      <c r="AB206" s="6" t="str">
        <f t="shared" si="41"/>
        <v/>
      </c>
      <c r="AC206" s="6" t="str">
        <f t="shared" si="42"/>
        <v/>
      </c>
      <c r="AD206" s="6" t="str">
        <f t="shared" si="43"/>
        <v/>
      </c>
      <c r="AE206" s="6" t="str">
        <f t="shared" si="44"/>
        <v/>
      </c>
      <c r="AF206" s="6" t="str">
        <f t="shared" si="45"/>
        <v/>
      </c>
      <c r="AG206" s="6" t="str">
        <f t="shared" si="46"/>
        <v/>
      </c>
      <c r="AH206" s="6" t="str">
        <f t="shared" si="47"/>
        <v/>
      </c>
    </row>
    <row r="207" spans="1:34">
      <c r="A207" s="9"/>
      <c r="C207" s="4" t="str">
        <f>IFERROR(VLOOKUP(B207,'Code Lists'!$A:$B,2,FALSE),"")</f>
        <v/>
      </c>
      <c r="F207" s="4" t="str">
        <f>IFERROR(VLOOKUP(E207,'Code Lists'!$D:$E,2,FALSE),"")</f>
        <v/>
      </c>
      <c r="H207" s="4" t="str">
        <f>IFERROR(VLOOKUP(G207,'Code Lists'!$G:$H,2,FALSE),"")</f>
        <v/>
      </c>
      <c r="J207" s="10"/>
      <c r="M207" s="11"/>
      <c r="Q207" s="7" t="str">
        <f>IF(VedAarnaSKUMaster[[#This Row],[HSN/SAC Code]]=998822,5%,IF(VedAarnaSKUMaster[[#This Row],[HSN/SAC Code]]=998391,18%,IF(VedAarnaSKUMaster[[#This Row],[HSN/SAC Code]]=998723,5%,"")))</f>
        <v/>
      </c>
      <c r="R207" s="5" t="str">
        <f t="shared" si="37"/>
        <v/>
      </c>
      <c r="S207" s="5" t="str">
        <f t="shared" si="38"/>
        <v/>
      </c>
      <c r="T207" s="11"/>
      <c r="U207" s="8" t="str">
        <f>IF(OR(VedAarnaSKUMaster[[#This Row],[Selling Price]]="",VedAarnaSKUMaster[[#This Row],[Selling Price]]=0),"",CEILING(VedAarnaSKUMaster[[#This Row],[Selling Price]]/(1-20%),100)-1)</f>
        <v/>
      </c>
      <c r="V207">
        <f t="shared" si="48"/>
        <v>0</v>
      </c>
      <c r="W207" s="8"/>
      <c r="Z207" s="6" t="str">
        <f t="shared" si="39"/>
        <v/>
      </c>
      <c r="AA207" s="6" t="str">
        <f t="shared" si="40"/>
        <v/>
      </c>
      <c r="AB207" s="6" t="str">
        <f t="shared" si="41"/>
        <v/>
      </c>
      <c r="AC207" s="6" t="str">
        <f t="shared" si="42"/>
        <v/>
      </c>
      <c r="AD207" s="6" t="str">
        <f t="shared" si="43"/>
        <v/>
      </c>
      <c r="AE207" s="6" t="str">
        <f t="shared" si="44"/>
        <v/>
      </c>
      <c r="AF207" s="6" t="str">
        <f t="shared" si="45"/>
        <v/>
      </c>
      <c r="AG207" s="6" t="str">
        <f t="shared" si="46"/>
        <v/>
      </c>
      <c r="AH207" s="6" t="str">
        <f t="shared" si="47"/>
        <v/>
      </c>
    </row>
    <row r="208" spans="1:34">
      <c r="A208" s="9"/>
      <c r="C208" s="4" t="str">
        <f>IFERROR(VLOOKUP(B208,'Code Lists'!$A:$B,2,FALSE),"")</f>
        <v/>
      </c>
      <c r="F208" s="4" t="str">
        <f>IFERROR(VLOOKUP(E208,'Code Lists'!$D:$E,2,FALSE),"")</f>
        <v/>
      </c>
      <c r="H208" s="4" t="str">
        <f>IFERROR(VLOOKUP(G208,'Code Lists'!$G:$H,2,FALSE),"")</f>
        <v/>
      </c>
      <c r="J208" s="10"/>
      <c r="M208" s="11"/>
      <c r="Q208" s="7" t="str">
        <f>IF(VedAarnaSKUMaster[[#This Row],[HSN/SAC Code]]=998822,5%,IF(VedAarnaSKUMaster[[#This Row],[HSN/SAC Code]]=998391,18%,IF(VedAarnaSKUMaster[[#This Row],[HSN/SAC Code]]=998723,5%,"")))</f>
        <v/>
      </c>
      <c r="R208" s="5" t="str">
        <f t="shared" si="37"/>
        <v/>
      </c>
      <c r="S208" s="5" t="str">
        <f t="shared" si="38"/>
        <v/>
      </c>
      <c r="T208" s="11"/>
      <c r="U208" s="8" t="str">
        <f>IF(OR(VedAarnaSKUMaster[[#This Row],[Selling Price]]="",VedAarnaSKUMaster[[#This Row],[Selling Price]]=0),"",CEILING(VedAarnaSKUMaster[[#This Row],[Selling Price]]/(1-20%),100)-1)</f>
        <v/>
      </c>
      <c r="V208">
        <f t="shared" si="48"/>
        <v>0</v>
      </c>
      <c r="W208" s="8"/>
      <c r="Z208" s="6" t="str">
        <f t="shared" si="39"/>
        <v/>
      </c>
      <c r="AA208" s="6" t="str">
        <f t="shared" si="40"/>
        <v/>
      </c>
      <c r="AB208" s="6" t="str">
        <f t="shared" si="41"/>
        <v/>
      </c>
      <c r="AC208" s="6" t="str">
        <f t="shared" si="42"/>
        <v/>
      </c>
      <c r="AD208" s="6" t="str">
        <f t="shared" si="43"/>
        <v/>
      </c>
      <c r="AE208" s="6" t="str">
        <f t="shared" si="44"/>
        <v/>
      </c>
      <c r="AF208" s="6" t="str">
        <f t="shared" si="45"/>
        <v/>
      </c>
      <c r="AG208" s="6" t="str">
        <f t="shared" si="46"/>
        <v/>
      </c>
      <c r="AH208" s="6" t="str">
        <f t="shared" si="47"/>
        <v/>
      </c>
    </row>
    <row r="209" spans="1:34">
      <c r="A209" s="9"/>
      <c r="C209" s="4" t="str">
        <f>IFERROR(VLOOKUP(B209,'Code Lists'!$A:$B,2,FALSE),"")</f>
        <v/>
      </c>
      <c r="F209" s="4" t="str">
        <f>IFERROR(VLOOKUP(E209,'Code Lists'!$D:$E,2,FALSE),"")</f>
        <v/>
      </c>
      <c r="H209" s="4" t="str">
        <f>IFERROR(VLOOKUP(G209,'Code Lists'!$G:$H,2,FALSE),"")</f>
        <v/>
      </c>
      <c r="J209" s="10"/>
      <c r="M209" s="11"/>
      <c r="Q209" s="7" t="str">
        <f>IF(VedAarnaSKUMaster[[#This Row],[HSN/SAC Code]]=998822,5%,IF(VedAarnaSKUMaster[[#This Row],[HSN/SAC Code]]=998391,18%,IF(VedAarnaSKUMaster[[#This Row],[HSN/SAC Code]]=998723,5%,"")))</f>
        <v/>
      </c>
      <c r="R209" s="5" t="str">
        <f t="shared" si="37"/>
        <v/>
      </c>
      <c r="S209" s="5" t="str">
        <f t="shared" si="38"/>
        <v/>
      </c>
      <c r="T209" s="11"/>
      <c r="U209" s="8" t="str">
        <f>IF(OR(VedAarnaSKUMaster[[#This Row],[Selling Price]]="",VedAarnaSKUMaster[[#This Row],[Selling Price]]=0),"",CEILING(VedAarnaSKUMaster[[#This Row],[Selling Price]]/(1-20%),100)-1)</f>
        <v/>
      </c>
      <c r="V209">
        <f t="shared" si="48"/>
        <v>0</v>
      </c>
      <c r="W209" s="8"/>
      <c r="Z209" s="6" t="str">
        <f t="shared" si="39"/>
        <v/>
      </c>
      <c r="AA209" s="6" t="str">
        <f t="shared" si="40"/>
        <v/>
      </c>
      <c r="AB209" s="6" t="str">
        <f t="shared" si="41"/>
        <v/>
      </c>
      <c r="AC209" s="6" t="str">
        <f t="shared" si="42"/>
        <v/>
      </c>
      <c r="AD209" s="6" t="str">
        <f t="shared" si="43"/>
        <v/>
      </c>
      <c r="AE209" s="6" t="str">
        <f t="shared" si="44"/>
        <v/>
      </c>
      <c r="AF209" s="6" t="str">
        <f t="shared" si="45"/>
        <v/>
      </c>
      <c r="AG209" s="6" t="str">
        <f t="shared" si="46"/>
        <v/>
      </c>
      <c r="AH209" s="6" t="str">
        <f t="shared" si="47"/>
        <v/>
      </c>
    </row>
    <row r="210" spans="1:34">
      <c r="A210" s="9"/>
      <c r="C210" s="4" t="str">
        <f>IFERROR(VLOOKUP(B210,'Code Lists'!$A:$B,2,FALSE),"")</f>
        <v/>
      </c>
      <c r="F210" s="4" t="str">
        <f>IFERROR(VLOOKUP(E210,'Code Lists'!$D:$E,2,FALSE),"")</f>
        <v/>
      </c>
      <c r="H210" s="4" t="str">
        <f>IFERROR(VLOOKUP(G210,'Code Lists'!$G:$H,2,FALSE),"")</f>
        <v/>
      </c>
      <c r="J210" s="10"/>
      <c r="M210" s="11"/>
      <c r="Q210" s="7" t="str">
        <f>IF(VedAarnaSKUMaster[[#This Row],[HSN/SAC Code]]=998822,5%,IF(VedAarnaSKUMaster[[#This Row],[HSN/SAC Code]]=998391,18%,IF(VedAarnaSKUMaster[[#This Row],[HSN/SAC Code]]=998723,5%,"")))</f>
        <v/>
      </c>
      <c r="R210" s="5" t="str">
        <f t="shared" si="37"/>
        <v/>
      </c>
      <c r="S210" s="5" t="str">
        <f t="shared" si="38"/>
        <v/>
      </c>
      <c r="T210" s="11"/>
      <c r="U210" s="8" t="str">
        <f>IF(OR(VedAarnaSKUMaster[[#This Row],[Selling Price]]="",VedAarnaSKUMaster[[#This Row],[Selling Price]]=0),"",CEILING(VedAarnaSKUMaster[[#This Row],[Selling Price]]/(1-20%),100)-1)</f>
        <v/>
      </c>
      <c r="V210">
        <f t="shared" si="48"/>
        <v>0</v>
      </c>
      <c r="W210" s="8"/>
      <c r="Z210" s="6" t="str">
        <f t="shared" si="39"/>
        <v/>
      </c>
      <c r="AA210" s="6" t="str">
        <f t="shared" si="40"/>
        <v/>
      </c>
      <c r="AB210" s="6" t="str">
        <f t="shared" si="41"/>
        <v/>
      </c>
      <c r="AC210" s="6" t="str">
        <f t="shared" si="42"/>
        <v/>
      </c>
      <c r="AD210" s="6" t="str">
        <f t="shared" si="43"/>
        <v/>
      </c>
      <c r="AE210" s="6" t="str">
        <f t="shared" si="44"/>
        <v/>
      </c>
      <c r="AF210" s="6" t="str">
        <f t="shared" si="45"/>
        <v/>
      </c>
      <c r="AG210" s="6" t="str">
        <f t="shared" si="46"/>
        <v/>
      </c>
      <c r="AH210" s="6" t="str">
        <f t="shared" si="47"/>
        <v/>
      </c>
    </row>
    <row r="211" spans="1:34">
      <c r="A211" s="9"/>
      <c r="C211" s="4" t="str">
        <f>IFERROR(VLOOKUP(B211,'Code Lists'!$A:$B,2,FALSE),"")</f>
        <v/>
      </c>
      <c r="F211" s="4" t="str">
        <f>IFERROR(VLOOKUP(E211,'Code Lists'!$D:$E,2,FALSE),"")</f>
        <v/>
      </c>
      <c r="H211" s="4" t="str">
        <f>IFERROR(VLOOKUP(G211,'Code Lists'!$G:$H,2,FALSE),"")</f>
        <v/>
      </c>
      <c r="J211" s="10"/>
      <c r="M211" s="11"/>
      <c r="Q211" s="7" t="str">
        <f>IF(VedAarnaSKUMaster[[#This Row],[HSN/SAC Code]]=998822,5%,IF(VedAarnaSKUMaster[[#This Row],[HSN/SAC Code]]=998391,18%,IF(VedAarnaSKUMaster[[#This Row],[HSN/SAC Code]]=998723,5%,"")))</f>
        <v/>
      </c>
      <c r="R211" s="5" t="str">
        <f t="shared" si="37"/>
        <v/>
      </c>
      <c r="S211" s="5" t="str">
        <f t="shared" si="38"/>
        <v/>
      </c>
      <c r="T211" s="11"/>
      <c r="U211" s="8" t="str">
        <f>IF(OR(VedAarnaSKUMaster[[#This Row],[Selling Price]]="",VedAarnaSKUMaster[[#This Row],[Selling Price]]=0),"",CEILING(VedAarnaSKUMaster[[#This Row],[Selling Price]]/(1-20%),100)-1)</f>
        <v/>
      </c>
      <c r="V211">
        <f t="shared" si="48"/>
        <v>0</v>
      </c>
      <c r="W211" s="8"/>
      <c r="Z211" s="6" t="str">
        <f t="shared" si="39"/>
        <v/>
      </c>
      <c r="AA211" s="6" t="str">
        <f t="shared" si="40"/>
        <v/>
      </c>
      <c r="AB211" s="6" t="str">
        <f t="shared" si="41"/>
        <v/>
      </c>
      <c r="AC211" s="6" t="str">
        <f t="shared" si="42"/>
        <v/>
      </c>
      <c r="AD211" s="6" t="str">
        <f t="shared" si="43"/>
        <v/>
      </c>
      <c r="AE211" s="6" t="str">
        <f t="shared" si="44"/>
        <v/>
      </c>
      <c r="AF211" s="6" t="str">
        <f t="shared" si="45"/>
        <v/>
      </c>
      <c r="AG211" s="6" t="str">
        <f t="shared" si="46"/>
        <v/>
      </c>
      <c r="AH211" s="6" t="str">
        <f t="shared" si="47"/>
        <v/>
      </c>
    </row>
    <row r="212" spans="1:34">
      <c r="A212" s="9"/>
      <c r="C212" s="4" t="str">
        <f>IFERROR(VLOOKUP(B212,'Code Lists'!$A:$B,2,FALSE),"")</f>
        <v/>
      </c>
      <c r="F212" s="4" t="str">
        <f>IFERROR(VLOOKUP(E212,'Code Lists'!$D:$E,2,FALSE),"")</f>
        <v/>
      </c>
      <c r="H212" s="4" t="str">
        <f>IFERROR(VLOOKUP(G212,'Code Lists'!$G:$H,2,FALSE),"")</f>
        <v/>
      </c>
      <c r="J212" s="10"/>
      <c r="M212" s="11"/>
      <c r="Q212" s="7" t="str">
        <f>IF(VedAarnaSKUMaster[[#This Row],[HSN/SAC Code]]=998822,5%,IF(VedAarnaSKUMaster[[#This Row],[HSN/SAC Code]]=998391,18%,IF(VedAarnaSKUMaster[[#This Row],[HSN/SAC Code]]=998723,5%,"")))</f>
        <v/>
      </c>
      <c r="R212" s="5" t="str">
        <f t="shared" si="37"/>
        <v/>
      </c>
      <c r="S212" s="5" t="str">
        <f t="shared" si="38"/>
        <v/>
      </c>
      <c r="T212" s="11"/>
      <c r="U212" s="8" t="str">
        <f>IF(OR(VedAarnaSKUMaster[[#This Row],[Selling Price]]="",VedAarnaSKUMaster[[#This Row],[Selling Price]]=0),"",CEILING(VedAarnaSKUMaster[[#This Row],[Selling Price]]/(1-20%),100)-1)</f>
        <v/>
      </c>
      <c r="V212">
        <f t="shared" si="48"/>
        <v>0</v>
      </c>
      <c r="W212" s="8"/>
      <c r="Z212" s="6" t="str">
        <f t="shared" si="39"/>
        <v/>
      </c>
      <c r="AA212" s="6" t="str">
        <f t="shared" si="40"/>
        <v/>
      </c>
      <c r="AB212" s="6" t="str">
        <f t="shared" si="41"/>
        <v/>
      </c>
      <c r="AC212" s="6" t="str">
        <f t="shared" si="42"/>
        <v/>
      </c>
      <c r="AD212" s="6" t="str">
        <f t="shared" si="43"/>
        <v/>
      </c>
      <c r="AE212" s="6" t="str">
        <f t="shared" si="44"/>
        <v/>
      </c>
      <c r="AF212" s="6" t="str">
        <f t="shared" si="45"/>
        <v/>
      </c>
      <c r="AG212" s="6" t="str">
        <f t="shared" si="46"/>
        <v/>
      </c>
      <c r="AH212" s="6" t="str">
        <f t="shared" si="47"/>
        <v/>
      </c>
    </row>
    <row r="213" spans="1:34">
      <c r="A213" s="9"/>
      <c r="C213" s="4" t="str">
        <f>IFERROR(VLOOKUP(B213,'Code Lists'!$A:$B,2,FALSE),"")</f>
        <v/>
      </c>
      <c r="F213" s="4" t="str">
        <f>IFERROR(VLOOKUP(E213,'Code Lists'!$D:$E,2,FALSE),"")</f>
        <v/>
      </c>
      <c r="H213" s="4" t="str">
        <f>IFERROR(VLOOKUP(G213,'Code Lists'!$G:$H,2,FALSE),"")</f>
        <v/>
      </c>
      <c r="J213" s="10"/>
      <c r="M213" s="11"/>
      <c r="Q213" s="7" t="str">
        <f>IF(VedAarnaSKUMaster[[#This Row],[HSN/SAC Code]]=998822,5%,IF(VedAarnaSKUMaster[[#This Row],[HSN/SAC Code]]=998391,18%,IF(VedAarnaSKUMaster[[#This Row],[HSN/SAC Code]]=998723,5%,"")))</f>
        <v/>
      </c>
      <c r="R213" s="5" t="str">
        <f t="shared" si="37"/>
        <v/>
      </c>
      <c r="S213" s="5" t="str">
        <f t="shared" si="38"/>
        <v/>
      </c>
      <c r="T213" s="11"/>
      <c r="U213" s="8" t="str">
        <f>IF(OR(VedAarnaSKUMaster[[#This Row],[Selling Price]]="",VedAarnaSKUMaster[[#This Row],[Selling Price]]=0),"",CEILING(VedAarnaSKUMaster[[#This Row],[Selling Price]]/(1-20%),100)-1)</f>
        <v/>
      </c>
      <c r="V213">
        <f t="shared" si="48"/>
        <v>0</v>
      </c>
      <c r="W213" s="8"/>
      <c r="Z213" s="6" t="str">
        <f t="shared" si="39"/>
        <v/>
      </c>
      <c r="AA213" s="6" t="str">
        <f t="shared" si="40"/>
        <v/>
      </c>
      <c r="AB213" s="6" t="str">
        <f t="shared" si="41"/>
        <v/>
      </c>
      <c r="AC213" s="6" t="str">
        <f t="shared" si="42"/>
        <v/>
      </c>
      <c r="AD213" s="6" t="str">
        <f t="shared" si="43"/>
        <v/>
      </c>
      <c r="AE213" s="6" t="str">
        <f t="shared" si="44"/>
        <v/>
      </c>
      <c r="AF213" s="6" t="str">
        <f t="shared" si="45"/>
        <v/>
      </c>
      <c r="AG213" s="6" t="str">
        <f t="shared" si="46"/>
        <v/>
      </c>
      <c r="AH213" s="6" t="str">
        <f t="shared" si="47"/>
        <v/>
      </c>
    </row>
    <row r="214" spans="1:34">
      <c r="A214" s="9"/>
      <c r="C214" s="4" t="str">
        <f>IFERROR(VLOOKUP(B214,'Code Lists'!$A:$B,2,FALSE),"")</f>
        <v/>
      </c>
      <c r="F214" s="4" t="str">
        <f>IFERROR(VLOOKUP(E214,'Code Lists'!$D:$E,2,FALSE),"")</f>
        <v/>
      </c>
      <c r="H214" s="4" t="str">
        <f>IFERROR(VLOOKUP(G214,'Code Lists'!$G:$H,2,FALSE),"")</f>
        <v/>
      </c>
      <c r="J214" s="10"/>
      <c r="M214" s="11"/>
      <c r="Q214" s="7" t="str">
        <f>IF(VedAarnaSKUMaster[[#This Row],[HSN/SAC Code]]=998822,5%,IF(VedAarnaSKUMaster[[#This Row],[HSN/SAC Code]]=998391,18%,IF(VedAarnaSKUMaster[[#This Row],[HSN/SAC Code]]=998723,5%,"")))</f>
        <v/>
      </c>
      <c r="R214" s="5" t="str">
        <f t="shared" si="37"/>
        <v/>
      </c>
      <c r="S214" s="5" t="str">
        <f t="shared" si="38"/>
        <v/>
      </c>
      <c r="T214" s="11"/>
      <c r="U214" s="8" t="str">
        <f>IF(OR(VedAarnaSKUMaster[[#This Row],[Selling Price]]="",VedAarnaSKUMaster[[#This Row],[Selling Price]]=0),"",CEILING(VedAarnaSKUMaster[[#This Row],[Selling Price]]/(1-20%),100)-1)</f>
        <v/>
      </c>
      <c r="V214">
        <f t="shared" si="48"/>
        <v>0</v>
      </c>
      <c r="W214" s="8"/>
      <c r="Z214" s="6" t="str">
        <f t="shared" si="39"/>
        <v/>
      </c>
      <c r="AA214" s="6" t="str">
        <f t="shared" si="40"/>
        <v/>
      </c>
      <c r="AB214" s="6" t="str">
        <f t="shared" si="41"/>
        <v/>
      </c>
      <c r="AC214" s="6" t="str">
        <f t="shared" si="42"/>
        <v/>
      </c>
      <c r="AD214" s="6" t="str">
        <f t="shared" si="43"/>
        <v/>
      </c>
      <c r="AE214" s="6" t="str">
        <f t="shared" si="44"/>
        <v/>
      </c>
      <c r="AF214" s="6" t="str">
        <f t="shared" si="45"/>
        <v/>
      </c>
      <c r="AG214" s="6" t="str">
        <f t="shared" si="46"/>
        <v/>
      </c>
      <c r="AH214" s="6" t="str">
        <f t="shared" si="47"/>
        <v/>
      </c>
    </row>
    <row r="215" spans="1:34">
      <c r="A215" s="9"/>
      <c r="C215" s="4" t="str">
        <f>IFERROR(VLOOKUP(B215,'Code Lists'!$A:$B,2,FALSE),"")</f>
        <v/>
      </c>
      <c r="F215" s="4" t="str">
        <f>IFERROR(VLOOKUP(E215,'Code Lists'!$D:$E,2,FALSE),"")</f>
        <v/>
      </c>
      <c r="H215" s="4" t="str">
        <f>IFERROR(VLOOKUP(G215,'Code Lists'!$G:$H,2,FALSE),"")</f>
        <v/>
      </c>
      <c r="J215" s="10"/>
      <c r="M215" s="11"/>
      <c r="Q215" s="7" t="str">
        <f>IF(VedAarnaSKUMaster[[#This Row],[HSN/SAC Code]]=998822,5%,IF(VedAarnaSKUMaster[[#This Row],[HSN/SAC Code]]=998391,18%,IF(VedAarnaSKUMaster[[#This Row],[HSN/SAC Code]]=998723,5%,"")))</f>
        <v/>
      </c>
      <c r="R215" s="5" t="str">
        <f t="shared" si="37"/>
        <v/>
      </c>
      <c r="S215" s="5" t="str">
        <f t="shared" si="38"/>
        <v/>
      </c>
      <c r="T215" s="11"/>
      <c r="U215" s="8" t="str">
        <f>IF(OR(VedAarnaSKUMaster[[#This Row],[Selling Price]]="",VedAarnaSKUMaster[[#This Row],[Selling Price]]=0),"",CEILING(VedAarnaSKUMaster[[#This Row],[Selling Price]]/(1-20%),100)-1)</f>
        <v/>
      </c>
      <c r="V215">
        <f t="shared" si="48"/>
        <v>0</v>
      </c>
      <c r="W215" s="8"/>
      <c r="Z215" s="6" t="str">
        <f t="shared" si="39"/>
        <v/>
      </c>
      <c r="AA215" s="6" t="str">
        <f t="shared" si="40"/>
        <v/>
      </c>
      <c r="AB215" s="6" t="str">
        <f t="shared" si="41"/>
        <v/>
      </c>
      <c r="AC215" s="6" t="str">
        <f t="shared" si="42"/>
        <v/>
      </c>
      <c r="AD215" s="6" t="str">
        <f t="shared" si="43"/>
        <v/>
      </c>
      <c r="AE215" s="6" t="str">
        <f t="shared" si="44"/>
        <v/>
      </c>
      <c r="AF215" s="6" t="str">
        <f t="shared" si="45"/>
        <v/>
      </c>
      <c r="AG215" s="6" t="str">
        <f t="shared" si="46"/>
        <v/>
      </c>
      <c r="AH215" s="6" t="str">
        <f t="shared" si="47"/>
        <v/>
      </c>
    </row>
    <row r="216" spans="1:34">
      <c r="A216" s="9"/>
      <c r="C216" s="4" t="str">
        <f>IFERROR(VLOOKUP(B216,'Code Lists'!$A:$B,2,FALSE),"")</f>
        <v/>
      </c>
      <c r="F216" s="4" t="str">
        <f>IFERROR(VLOOKUP(E216,'Code Lists'!$D:$E,2,FALSE),"")</f>
        <v/>
      </c>
      <c r="H216" s="4" t="str">
        <f>IFERROR(VLOOKUP(G216,'Code Lists'!$G:$H,2,FALSE),"")</f>
        <v/>
      </c>
      <c r="J216" s="10"/>
      <c r="M216" s="11"/>
      <c r="Q216" s="7" t="str">
        <f>IF(VedAarnaSKUMaster[[#This Row],[HSN/SAC Code]]=998822,5%,IF(VedAarnaSKUMaster[[#This Row],[HSN/SAC Code]]=998391,18%,IF(VedAarnaSKUMaster[[#This Row],[HSN/SAC Code]]=998723,5%,"")))</f>
        <v/>
      </c>
      <c r="R216" s="5" t="str">
        <f t="shared" si="37"/>
        <v/>
      </c>
      <c r="S216" s="5" t="str">
        <f t="shared" si="38"/>
        <v/>
      </c>
      <c r="T216" s="11"/>
      <c r="U216" s="8" t="str">
        <f>IF(OR(VedAarnaSKUMaster[[#This Row],[Selling Price]]="",VedAarnaSKUMaster[[#This Row],[Selling Price]]=0),"",CEILING(VedAarnaSKUMaster[[#This Row],[Selling Price]]/(1-20%),100)-1)</f>
        <v/>
      </c>
      <c r="V216">
        <f t="shared" si="48"/>
        <v>0</v>
      </c>
      <c r="W216" s="8"/>
      <c r="Z216" s="6" t="str">
        <f t="shared" si="39"/>
        <v/>
      </c>
      <c r="AA216" s="6" t="str">
        <f t="shared" si="40"/>
        <v/>
      </c>
      <c r="AB216" s="6" t="str">
        <f t="shared" si="41"/>
        <v/>
      </c>
      <c r="AC216" s="6" t="str">
        <f t="shared" si="42"/>
        <v/>
      </c>
      <c r="AD216" s="6" t="str">
        <f t="shared" si="43"/>
        <v/>
      </c>
      <c r="AE216" s="6" t="str">
        <f t="shared" si="44"/>
        <v/>
      </c>
      <c r="AF216" s="6" t="str">
        <f t="shared" si="45"/>
        <v/>
      </c>
      <c r="AG216" s="6" t="str">
        <f t="shared" si="46"/>
        <v/>
      </c>
      <c r="AH216" s="6" t="str">
        <f t="shared" si="47"/>
        <v/>
      </c>
    </row>
    <row r="217" spans="1:34">
      <c r="A217" s="9"/>
      <c r="C217" s="4" t="str">
        <f>IFERROR(VLOOKUP(B217,'Code Lists'!$A:$B,2,FALSE),"")</f>
        <v/>
      </c>
      <c r="F217" s="4" t="str">
        <f>IFERROR(VLOOKUP(E217,'Code Lists'!$D:$E,2,FALSE),"")</f>
        <v/>
      </c>
      <c r="H217" s="4" t="str">
        <f>IFERROR(VLOOKUP(G217,'Code Lists'!$G:$H,2,FALSE),"")</f>
        <v/>
      </c>
      <c r="J217" s="10"/>
      <c r="M217" s="11"/>
      <c r="Q217" s="7" t="str">
        <f>IF(VedAarnaSKUMaster[[#This Row],[HSN/SAC Code]]=998822,5%,IF(VedAarnaSKUMaster[[#This Row],[HSN/SAC Code]]=998391,18%,IF(VedAarnaSKUMaster[[#This Row],[HSN/SAC Code]]=998723,5%,"")))</f>
        <v/>
      </c>
      <c r="R217" s="5" t="str">
        <f t="shared" si="37"/>
        <v/>
      </c>
      <c r="S217" s="5" t="str">
        <f t="shared" si="38"/>
        <v/>
      </c>
      <c r="T217" s="11"/>
      <c r="U217" s="8" t="str">
        <f>IF(OR(VedAarnaSKUMaster[[#This Row],[Selling Price]]="",VedAarnaSKUMaster[[#This Row],[Selling Price]]=0),"",CEILING(VedAarnaSKUMaster[[#This Row],[Selling Price]]/(1-20%),100)-1)</f>
        <v/>
      </c>
      <c r="V217">
        <f t="shared" si="48"/>
        <v>0</v>
      </c>
      <c r="W217" s="8"/>
      <c r="Z217" s="6" t="str">
        <f t="shared" si="39"/>
        <v/>
      </c>
      <c r="AA217" s="6" t="str">
        <f t="shared" si="40"/>
        <v/>
      </c>
      <c r="AB217" s="6" t="str">
        <f t="shared" si="41"/>
        <v/>
      </c>
      <c r="AC217" s="6" t="str">
        <f t="shared" si="42"/>
        <v/>
      </c>
      <c r="AD217" s="6" t="str">
        <f t="shared" si="43"/>
        <v/>
      </c>
      <c r="AE217" s="6" t="str">
        <f t="shared" si="44"/>
        <v/>
      </c>
      <c r="AF217" s="6" t="str">
        <f t="shared" si="45"/>
        <v/>
      </c>
      <c r="AG217" s="6" t="str">
        <f t="shared" si="46"/>
        <v/>
      </c>
      <c r="AH217" s="6" t="str">
        <f t="shared" si="47"/>
        <v/>
      </c>
    </row>
    <row r="218" spans="1:34">
      <c r="A218" s="9"/>
      <c r="C218" s="4" t="str">
        <f>IFERROR(VLOOKUP(B218,'Code Lists'!$A:$B,2,FALSE),"")</f>
        <v/>
      </c>
      <c r="F218" s="4" t="str">
        <f>IFERROR(VLOOKUP(E218,'Code Lists'!$D:$E,2,FALSE),"")</f>
        <v/>
      </c>
      <c r="H218" s="4" t="str">
        <f>IFERROR(VLOOKUP(G218,'Code Lists'!$G:$H,2,FALSE),"")</f>
        <v/>
      </c>
      <c r="J218" s="10"/>
      <c r="M218" s="11"/>
      <c r="Q218" s="7" t="str">
        <f>IF(VedAarnaSKUMaster[[#This Row],[HSN/SAC Code]]=998822,5%,IF(VedAarnaSKUMaster[[#This Row],[HSN/SAC Code]]=998391,18%,IF(VedAarnaSKUMaster[[#This Row],[HSN/SAC Code]]=998723,5%,"")))</f>
        <v/>
      </c>
      <c r="R218" s="5" t="str">
        <f t="shared" si="37"/>
        <v/>
      </c>
      <c r="S218" s="5" t="str">
        <f t="shared" si="38"/>
        <v/>
      </c>
      <c r="T218" s="11"/>
      <c r="U218" s="8" t="str">
        <f>IF(OR(VedAarnaSKUMaster[[#This Row],[Selling Price]]="",VedAarnaSKUMaster[[#This Row],[Selling Price]]=0),"",CEILING(VedAarnaSKUMaster[[#This Row],[Selling Price]]/(1-20%),100)-1)</f>
        <v/>
      </c>
      <c r="V218">
        <f t="shared" si="48"/>
        <v>0</v>
      </c>
      <c r="W218" s="8"/>
      <c r="Z218" s="6" t="str">
        <f t="shared" si="39"/>
        <v/>
      </c>
      <c r="AA218" s="6" t="str">
        <f t="shared" si="40"/>
        <v/>
      </c>
      <c r="AB218" s="6" t="str">
        <f t="shared" si="41"/>
        <v/>
      </c>
      <c r="AC218" s="6" t="str">
        <f t="shared" si="42"/>
        <v/>
      </c>
      <c r="AD218" s="6" t="str">
        <f t="shared" si="43"/>
        <v/>
      </c>
      <c r="AE218" s="6" t="str">
        <f t="shared" si="44"/>
        <v/>
      </c>
      <c r="AF218" s="6" t="str">
        <f t="shared" si="45"/>
        <v/>
      </c>
      <c r="AG218" s="6" t="str">
        <f t="shared" si="46"/>
        <v/>
      </c>
      <c r="AH218" s="6" t="str">
        <f t="shared" si="47"/>
        <v/>
      </c>
    </row>
    <row r="219" spans="1:34">
      <c r="A219" s="9"/>
      <c r="C219" s="4" t="str">
        <f>IFERROR(VLOOKUP(B219,'Code Lists'!$A:$B,2,FALSE),"")</f>
        <v/>
      </c>
      <c r="F219" s="4" t="str">
        <f>IFERROR(VLOOKUP(E219,'Code Lists'!$D:$E,2,FALSE),"")</f>
        <v/>
      </c>
      <c r="H219" s="4" t="str">
        <f>IFERROR(VLOOKUP(G219,'Code Lists'!$G:$H,2,FALSE),"")</f>
        <v/>
      </c>
      <c r="J219" s="10"/>
      <c r="M219" s="11"/>
      <c r="Q219" s="7" t="str">
        <f>IF(VedAarnaSKUMaster[[#This Row],[HSN/SAC Code]]=998822,5%,IF(VedAarnaSKUMaster[[#This Row],[HSN/SAC Code]]=998391,18%,IF(VedAarnaSKUMaster[[#This Row],[HSN/SAC Code]]=998723,5%,"")))</f>
        <v/>
      </c>
      <c r="R219" s="5" t="str">
        <f t="shared" si="37"/>
        <v/>
      </c>
      <c r="S219" s="5" t="str">
        <f t="shared" si="38"/>
        <v/>
      </c>
      <c r="T219" s="11"/>
      <c r="U219" s="8" t="str">
        <f>IF(OR(VedAarnaSKUMaster[[#This Row],[Selling Price]]="",VedAarnaSKUMaster[[#This Row],[Selling Price]]=0),"",CEILING(VedAarnaSKUMaster[[#This Row],[Selling Price]]/(1-20%),100)-1)</f>
        <v/>
      </c>
      <c r="V219">
        <f t="shared" si="48"/>
        <v>0</v>
      </c>
      <c r="W219" s="8"/>
      <c r="Z219" s="6" t="str">
        <f t="shared" si="39"/>
        <v/>
      </c>
      <c r="AA219" s="6" t="str">
        <f t="shared" si="40"/>
        <v/>
      </c>
      <c r="AB219" s="6" t="str">
        <f t="shared" si="41"/>
        <v/>
      </c>
      <c r="AC219" s="6" t="str">
        <f t="shared" si="42"/>
        <v/>
      </c>
      <c r="AD219" s="6" t="str">
        <f t="shared" si="43"/>
        <v/>
      </c>
      <c r="AE219" s="6" t="str">
        <f t="shared" si="44"/>
        <v/>
      </c>
      <c r="AF219" s="6" t="str">
        <f t="shared" si="45"/>
        <v/>
      </c>
      <c r="AG219" s="6" t="str">
        <f t="shared" si="46"/>
        <v/>
      </c>
      <c r="AH219" s="6" t="str">
        <f t="shared" si="47"/>
        <v/>
      </c>
    </row>
    <row r="220" spans="1:34">
      <c r="A220" s="9"/>
      <c r="C220" s="4" t="str">
        <f>IFERROR(VLOOKUP(B220,'Code Lists'!$A:$B,2,FALSE),"")</f>
        <v/>
      </c>
      <c r="F220" s="4" t="str">
        <f>IFERROR(VLOOKUP(E220,'Code Lists'!$D:$E,2,FALSE),"")</f>
        <v/>
      </c>
      <c r="H220" s="4" t="str">
        <f>IFERROR(VLOOKUP(G220,'Code Lists'!$G:$H,2,FALSE),"")</f>
        <v/>
      </c>
      <c r="J220" s="10"/>
      <c r="M220" s="11"/>
      <c r="Q220" s="7" t="str">
        <f>IF(VedAarnaSKUMaster[[#This Row],[HSN/SAC Code]]=998822,5%,IF(VedAarnaSKUMaster[[#This Row],[HSN/SAC Code]]=998391,18%,IF(VedAarnaSKUMaster[[#This Row],[HSN/SAC Code]]=998723,5%,"")))</f>
        <v/>
      </c>
      <c r="R220" s="5" t="str">
        <f t="shared" si="37"/>
        <v/>
      </c>
      <c r="S220" s="5" t="str">
        <f t="shared" si="38"/>
        <v/>
      </c>
      <c r="T220" s="11"/>
      <c r="U220" s="8" t="str">
        <f>IF(OR(VedAarnaSKUMaster[[#This Row],[Selling Price]]="",VedAarnaSKUMaster[[#This Row],[Selling Price]]=0),"",CEILING(VedAarnaSKUMaster[[#This Row],[Selling Price]]/(1-20%),100)-1)</f>
        <v/>
      </c>
      <c r="V220">
        <f t="shared" si="48"/>
        <v>0</v>
      </c>
      <c r="W220" s="8"/>
      <c r="Z220" s="6" t="str">
        <f t="shared" si="39"/>
        <v/>
      </c>
      <c r="AA220" s="6" t="str">
        <f t="shared" si="40"/>
        <v/>
      </c>
      <c r="AB220" s="6" t="str">
        <f t="shared" si="41"/>
        <v/>
      </c>
      <c r="AC220" s="6" t="str">
        <f t="shared" si="42"/>
        <v/>
      </c>
      <c r="AD220" s="6" t="str">
        <f t="shared" si="43"/>
        <v/>
      </c>
      <c r="AE220" s="6" t="str">
        <f t="shared" si="44"/>
        <v/>
      </c>
      <c r="AF220" s="6" t="str">
        <f t="shared" si="45"/>
        <v/>
      </c>
      <c r="AG220" s="6" t="str">
        <f t="shared" si="46"/>
        <v/>
      </c>
      <c r="AH220" s="6" t="str">
        <f t="shared" si="47"/>
        <v/>
      </c>
    </row>
    <row r="221" spans="1:34">
      <c r="A221" s="9"/>
      <c r="C221" s="4" t="str">
        <f>IFERROR(VLOOKUP(B221,'Code Lists'!$A:$B,2,FALSE),"")</f>
        <v/>
      </c>
      <c r="F221" s="4" t="str">
        <f>IFERROR(VLOOKUP(E221,'Code Lists'!$D:$E,2,FALSE),"")</f>
        <v/>
      </c>
      <c r="H221" s="4" t="str">
        <f>IFERROR(VLOOKUP(G221,'Code Lists'!$G:$H,2,FALSE),"")</f>
        <v/>
      </c>
      <c r="J221" s="10"/>
      <c r="M221" s="11"/>
      <c r="Q221" s="7" t="str">
        <f>IF(VedAarnaSKUMaster[[#This Row],[HSN/SAC Code]]=998822,5%,IF(VedAarnaSKUMaster[[#This Row],[HSN/SAC Code]]=998391,18%,IF(VedAarnaSKUMaster[[#This Row],[HSN/SAC Code]]=998723,5%,"")))</f>
        <v/>
      </c>
      <c r="R221" s="5" t="str">
        <f t="shared" si="37"/>
        <v/>
      </c>
      <c r="S221" s="5" t="str">
        <f t="shared" si="38"/>
        <v/>
      </c>
      <c r="T221" s="11"/>
      <c r="U221" s="8" t="str">
        <f>IF(OR(VedAarnaSKUMaster[[#This Row],[Selling Price]]="",VedAarnaSKUMaster[[#This Row],[Selling Price]]=0),"",CEILING(VedAarnaSKUMaster[[#This Row],[Selling Price]]/(1-20%),100)-1)</f>
        <v/>
      </c>
      <c r="V221">
        <f t="shared" si="48"/>
        <v>0</v>
      </c>
      <c r="W221" s="8"/>
      <c r="Z221" s="6" t="str">
        <f t="shared" si="39"/>
        <v/>
      </c>
      <c r="AA221" s="6" t="str">
        <f t="shared" si="40"/>
        <v/>
      </c>
      <c r="AB221" s="6" t="str">
        <f t="shared" si="41"/>
        <v/>
      </c>
      <c r="AC221" s="6" t="str">
        <f t="shared" si="42"/>
        <v/>
      </c>
      <c r="AD221" s="6" t="str">
        <f t="shared" si="43"/>
        <v/>
      </c>
      <c r="AE221" s="6" t="str">
        <f t="shared" si="44"/>
        <v/>
      </c>
      <c r="AF221" s="6" t="str">
        <f t="shared" si="45"/>
        <v/>
      </c>
      <c r="AG221" s="6" t="str">
        <f t="shared" si="46"/>
        <v/>
      </c>
      <c r="AH221" s="6" t="str">
        <f t="shared" si="47"/>
        <v/>
      </c>
    </row>
    <row r="222" spans="1:34">
      <c r="A222" s="9"/>
      <c r="C222" s="4" t="str">
        <f>IFERROR(VLOOKUP(B222,'Code Lists'!$A:$B,2,FALSE),"")</f>
        <v/>
      </c>
      <c r="F222" s="4" t="str">
        <f>IFERROR(VLOOKUP(E222,'Code Lists'!$D:$E,2,FALSE),"")</f>
        <v/>
      </c>
      <c r="H222" s="4" t="str">
        <f>IFERROR(VLOOKUP(G222,'Code Lists'!$G:$H,2,FALSE),"")</f>
        <v/>
      </c>
      <c r="J222" s="10"/>
      <c r="M222" s="11"/>
      <c r="Q222" s="7" t="str">
        <f>IF(VedAarnaSKUMaster[[#This Row],[HSN/SAC Code]]=998822,5%,IF(VedAarnaSKUMaster[[#This Row],[HSN/SAC Code]]=998391,18%,IF(VedAarnaSKUMaster[[#This Row],[HSN/SAC Code]]=998723,5%,"")))</f>
        <v/>
      </c>
      <c r="R222" s="5" t="str">
        <f t="shared" si="37"/>
        <v/>
      </c>
      <c r="S222" s="5" t="str">
        <f t="shared" si="38"/>
        <v/>
      </c>
      <c r="T222" s="11"/>
      <c r="U222" s="8" t="str">
        <f>IF(OR(VedAarnaSKUMaster[[#This Row],[Selling Price]]="",VedAarnaSKUMaster[[#This Row],[Selling Price]]=0),"",CEILING(VedAarnaSKUMaster[[#This Row],[Selling Price]]/(1-20%),100)-1)</f>
        <v/>
      </c>
      <c r="V222">
        <f t="shared" si="48"/>
        <v>0</v>
      </c>
      <c r="W222" s="8"/>
      <c r="Z222" s="6" t="str">
        <f t="shared" si="39"/>
        <v/>
      </c>
      <c r="AA222" s="6" t="str">
        <f t="shared" si="40"/>
        <v/>
      </c>
      <c r="AB222" s="6" t="str">
        <f t="shared" si="41"/>
        <v/>
      </c>
      <c r="AC222" s="6" t="str">
        <f t="shared" si="42"/>
        <v/>
      </c>
      <c r="AD222" s="6" t="str">
        <f t="shared" si="43"/>
        <v/>
      </c>
      <c r="AE222" s="6" t="str">
        <f t="shared" si="44"/>
        <v/>
      </c>
      <c r="AF222" s="6" t="str">
        <f t="shared" si="45"/>
        <v/>
      </c>
      <c r="AG222" s="6" t="str">
        <f t="shared" si="46"/>
        <v/>
      </c>
      <c r="AH222" s="6" t="str">
        <f t="shared" si="47"/>
        <v/>
      </c>
    </row>
    <row r="223" spans="1:34">
      <c r="A223" s="9"/>
      <c r="C223" s="4" t="str">
        <f>IFERROR(VLOOKUP(B223,'Code Lists'!$A:$B,2,FALSE),"")</f>
        <v/>
      </c>
      <c r="F223" s="4" t="str">
        <f>IFERROR(VLOOKUP(E223,'Code Lists'!$D:$E,2,FALSE),"")</f>
        <v/>
      </c>
      <c r="H223" s="4" t="str">
        <f>IFERROR(VLOOKUP(G223,'Code Lists'!$G:$H,2,FALSE),"")</f>
        <v/>
      </c>
      <c r="J223" s="10"/>
      <c r="M223" s="11"/>
      <c r="Q223" s="7" t="str">
        <f>IF(VedAarnaSKUMaster[[#This Row],[HSN/SAC Code]]=998822,5%,IF(VedAarnaSKUMaster[[#This Row],[HSN/SAC Code]]=998391,18%,IF(VedAarnaSKUMaster[[#This Row],[HSN/SAC Code]]=998723,5%,"")))</f>
        <v/>
      </c>
      <c r="R223" s="5" t="str">
        <f t="shared" si="37"/>
        <v/>
      </c>
      <c r="S223" s="5" t="str">
        <f t="shared" si="38"/>
        <v/>
      </c>
      <c r="T223" s="11"/>
      <c r="U223" s="8" t="str">
        <f>IF(OR(VedAarnaSKUMaster[[#This Row],[Selling Price]]="",VedAarnaSKUMaster[[#This Row],[Selling Price]]=0),"",CEILING(VedAarnaSKUMaster[[#This Row],[Selling Price]]/(1-20%),100)-1)</f>
        <v/>
      </c>
      <c r="V223">
        <f t="shared" si="48"/>
        <v>0</v>
      </c>
      <c r="W223" s="8"/>
      <c r="Z223" s="6" t="str">
        <f t="shared" si="39"/>
        <v/>
      </c>
      <c r="AA223" s="6" t="str">
        <f t="shared" si="40"/>
        <v/>
      </c>
      <c r="AB223" s="6" t="str">
        <f t="shared" si="41"/>
        <v/>
      </c>
      <c r="AC223" s="6" t="str">
        <f t="shared" si="42"/>
        <v/>
      </c>
      <c r="AD223" s="6" t="str">
        <f t="shared" si="43"/>
        <v/>
      </c>
      <c r="AE223" s="6" t="str">
        <f t="shared" si="44"/>
        <v/>
      </c>
      <c r="AF223" s="6" t="str">
        <f t="shared" si="45"/>
        <v/>
      </c>
      <c r="AG223" s="6" t="str">
        <f t="shared" si="46"/>
        <v/>
      </c>
      <c r="AH223" s="6" t="str">
        <f t="shared" si="47"/>
        <v/>
      </c>
    </row>
    <row r="224" spans="1:34">
      <c r="A224" s="9"/>
      <c r="C224" s="4" t="str">
        <f>IFERROR(VLOOKUP(B224,'Code Lists'!$A:$B,2,FALSE),"")</f>
        <v/>
      </c>
      <c r="F224" s="4" t="str">
        <f>IFERROR(VLOOKUP(E224,'Code Lists'!$D:$E,2,FALSE),"")</f>
        <v/>
      </c>
      <c r="H224" s="4" t="str">
        <f>IFERROR(VLOOKUP(G224,'Code Lists'!$G:$H,2,FALSE),"")</f>
        <v/>
      </c>
      <c r="J224" s="10"/>
      <c r="M224" s="11"/>
      <c r="Q224" s="7" t="str">
        <f>IF(VedAarnaSKUMaster[[#This Row],[HSN/SAC Code]]=998822,5%,IF(VedAarnaSKUMaster[[#This Row],[HSN/SAC Code]]=998391,18%,IF(VedAarnaSKUMaster[[#This Row],[HSN/SAC Code]]=998723,5%,"")))</f>
        <v/>
      </c>
      <c r="R224" s="5" t="str">
        <f t="shared" si="37"/>
        <v/>
      </c>
      <c r="S224" s="5" t="str">
        <f t="shared" si="38"/>
        <v/>
      </c>
      <c r="T224" s="11"/>
      <c r="U224" s="8" t="str">
        <f>IF(OR(VedAarnaSKUMaster[[#This Row],[Selling Price]]="",VedAarnaSKUMaster[[#This Row],[Selling Price]]=0),"",CEILING(VedAarnaSKUMaster[[#This Row],[Selling Price]]/(1-20%),100)-1)</f>
        <v/>
      </c>
      <c r="V224">
        <f t="shared" si="48"/>
        <v>0</v>
      </c>
      <c r="W224" s="8"/>
      <c r="Z224" s="6" t="str">
        <f t="shared" si="39"/>
        <v/>
      </c>
      <c r="AA224" s="6" t="str">
        <f t="shared" si="40"/>
        <v/>
      </c>
      <c r="AB224" s="6" t="str">
        <f t="shared" si="41"/>
        <v/>
      </c>
      <c r="AC224" s="6" t="str">
        <f t="shared" si="42"/>
        <v/>
      </c>
      <c r="AD224" s="6" t="str">
        <f t="shared" si="43"/>
        <v/>
      </c>
      <c r="AE224" s="6" t="str">
        <f t="shared" si="44"/>
        <v/>
      </c>
      <c r="AF224" s="6" t="str">
        <f t="shared" si="45"/>
        <v/>
      </c>
      <c r="AG224" s="6" t="str">
        <f t="shared" si="46"/>
        <v/>
      </c>
      <c r="AH224" s="6" t="str">
        <f t="shared" si="47"/>
        <v/>
      </c>
    </row>
    <row r="225" spans="1:34">
      <c r="A225" s="9"/>
      <c r="C225" s="4" t="str">
        <f>IFERROR(VLOOKUP(B225,'Code Lists'!$A:$B,2,FALSE),"")</f>
        <v/>
      </c>
      <c r="F225" s="4" t="str">
        <f>IFERROR(VLOOKUP(E225,'Code Lists'!$D:$E,2,FALSE),"")</f>
        <v/>
      </c>
      <c r="H225" s="4" t="str">
        <f>IFERROR(VLOOKUP(G225,'Code Lists'!$G:$H,2,FALSE),"")</f>
        <v/>
      </c>
      <c r="J225" s="10"/>
      <c r="M225" s="11"/>
      <c r="Q225" s="7" t="str">
        <f>IF(VedAarnaSKUMaster[[#This Row],[HSN/SAC Code]]=998822,5%,IF(VedAarnaSKUMaster[[#This Row],[HSN/SAC Code]]=998391,18%,IF(VedAarnaSKUMaster[[#This Row],[HSN/SAC Code]]=998723,5%,"")))</f>
        <v/>
      </c>
      <c r="R225" s="5" t="str">
        <f t="shared" si="37"/>
        <v/>
      </c>
      <c r="S225" s="5" t="str">
        <f t="shared" si="38"/>
        <v/>
      </c>
      <c r="T225" s="11"/>
      <c r="U225" s="8" t="str">
        <f>IF(OR(VedAarnaSKUMaster[[#This Row],[Selling Price]]="",VedAarnaSKUMaster[[#This Row],[Selling Price]]=0),"",CEILING(VedAarnaSKUMaster[[#This Row],[Selling Price]]/(1-20%),100)-1)</f>
        <v/>
      </c>
      <c r="V225">
        <f t="shared" si="48"/>
        <v>0</v>
      </c>
      <c r="W225" s="8"/>
      <c r="Z225" s="6" t="str">
        <f t="shared" si="39"/>
        <v/>
      </c>
      <c r="AA225" s="6" t="str">
        <f t="shared" si="40"/>
        <v/>
      </c>
      <c r="AB225" s="6" t="str">
        <f t="shared" si="41"/>
        <v/>
      </c>
      <c r="AC225" s="6" t="str">
        <f t="shared" si="42"/>
        <v/>
      </c>
      <c r="AD225" s="6" t="str">
        <f t="shared" si="43"/>
        <v/>
      </c>
      <c r="AE225" s="6" t="str">
        <f t="shared" si="44"/>
        <v/>
      </c>
      <c r="AF225" s="6" t="str">
        <f t="shared" si="45"/>
        <v/>
      </c>
      <c r="AG225" s="6" t="str">
        <f t="shared" si="46"/>
        <v/>
      </c>
      <c r="AH225" s="6" t="str">
        <f t="shared" si="47"/>
        <v/>
      </c>
    </row>
    <row r="226" spans="1:34">
      <c r="A226" s="9"/>
      <c r="C226" s="4" t="str">
        <f>IFERROR(VLOOKUP(B226,'Code Lists'!$A:$B,2,FALSE),"")</f>
        <v/>
      </c>
      <c r="F226" s="4" t="str">
        <f>IFERROR(VLOOKUP(E226,'Code Lists'!$D:$E,2,FALSE),"")</f>
        <v/>
      </c>
      <c r="H226" s="4" t="str">
        <f>IFERROR(VLOOKUP(G226,'Code Lists'!$G:$H,2,FALSE),"")</f>
        <v/>
      </c>
      <c r="J226" s="10"/>
      <c r="M226" s="11"/>
      <c r="Q226" s="7" t="str">
        <f>IF(VedAarnaSKUMaster[[#This Row],[HSN/SAC Code]]=998822,5%,IF(VedAarnaSKUMaster[[#This Row],[HSN/SAC Code]]=998391,18%,IF(VedAarnaSKUMaster[[#This Row],[HSN/SAC Code]]=998723,5%,"")))</f>
        <v/>
      </c>
      <c r="R226" s="5" t="str">
        <f t="shared" si="37"/>
        <v/>
      </c>
      <c r="S226" s="5" t="str">
        <f t="shared" si="38"/>
        <v/>
      </c>
      <c r="T226" s="11"/>
      <c r="U226" s="8" t="str">
        <f>IF(OR(VedAarnaSKUMaster[[#This Row],[Selling Price]]="",VedAarnaSKUMaster[[#This Row],[Selling Price]]=0),"",CEILING(VedAarnaSKUMaster[[#This Row],[Selling Price]]/(1-20%),100)-1)</f>
        <v/>
      </c>
      <c r="V226">
        <f t="shared" si="48"/>
        <v>0</v>
      </c>
      <c r="W226" s="8"/>
      <c r="Z226" s="6" t="str">
        <f t="shared" si="39"/>
        <v/>
      </c>
      <c r="AA226" s="6" t="str">
        <f t="shared" si="40"/>
        <v/>
      </c>
      <c r="AB226" s="6" t="str">
        <f t="shared" si="41"/>
        <v/>
      </c>
      <c r="AC226" s="6" t="str">
        <f t="shared" si="42"/>
        <v/>
      </c>
      <c r="AD226" s="6" t="str">
        <f t="shared" si="43"/>
        <v/>
      </c>
      <c r="AE226" s="6" t="str">
        <f t="shared" si="44"/>
        <v/>
      </c>
      <c r="AF226" s="6" t="str">
        <f t="shared" si="45"/>
        <v/>
      </c>
      <c r="AG226" s="6" t="str">
        <f t="shared" si="46"/>
        <v/>
      </c>
      <c r="AH226" s="6" t="str">
        <f t="shared" si="47"/>
        <v/>
      </c>
    </row>
    <row r="227" spans="1:34">
      <c r="A227" s="9"/>
      <c r="C227" s="4" t="str">
        <f>IFERROR(VLOOKUP(B227,'Code Lists'!$A:$B,2,FALSE),"")</f>
        <v/>
      </c>
      <c r="F227" s="4" t="str">
        <f>IFERROR(VLOOKUP(E227,'Code Lists'!$D:$E,2,FALSE),"")</f>
        <v/>
      </c>
      <c r="H227" s="4" t="str">
        <f>IFERROR(VLOOKUP(G227,'Code Lists'!$G:$H,2,FALSE),"")</f>
        <v/>
      </c>
      <c r="J227" s="10"/>
      <c r="M227" s="11"/>
      <c r="Q227" s="7" t="str">
        <f>IF(VedAarnaSKUMaster[[#This Row],[HSN/SAC Code]]=998822,5%,IF(VedAarnaSKUMaster[[#This Row],[HSN/SAC Code]]=998391,18%,IF(VedAarnaSKUMaster[[#This Row],[HSN/SAC Code]]=998723,5%,"")))</f>
        <v/>
      </c>
      <c r="R227" s="5" t="str">
        <f t="shared" si="37"/>
        <v/>
      </c>
      <c r="S227" s="5" t="str">
        <f t="shared" si="38"/>
        <v/>
      </c>
      <c r="T227" s="11"/>
      <c r="U227" s="8" t="str">
        <f>IF(OR(VedAarnaSKUMaster[[#This Row],[Selling Price]]="",VedAarnaSKUMaster[[#This Row],[Selling Price]]=0),"",CEILING(VedAarnaSKUMaster[[#This Row],[Selling Price]]/(1-20%),100)-1)</f>
        <v/>
      </c>
      <c r="V227">
        <f t="shared" si="48"/>
        <v>0</v>
      </c>
      <c r="W227" s="8"/>
      <c r="Z227" s="6" t="str">
        <f t="shared" si="39"/>
        <v/>
      </c>
      <c r="AA227" s="6" t="str">
        <f t="shared" si="40"/>
        <v/>
      </c>
      <c r="AB227" s="6" t="str">
        <f t="shared" si="41"/>
        <v/>
      </c>
      <c r="AC227" s="6" t="str">
        <f t="shared" si="42"/>
        <v/>
      </c>
      <c r="AD227" s="6" t="str">
        <f t="shared" si="43"/>
        <v/>
      </c>
      <c r="AE227" s="6" t="str">
        <f t="shared" si="44"/>
        <v/>
      </c>
      <c r="AF227" s="6" t="str">
        <f t="shared" si="45"/>
        <v/>
      </c>
      <c r="AG227" s="6" t="str">
        <f t="shared" si="46"/>
        <v/>
      </c>
      <c r="AH227" s="6" t="str">
        <f t="shared" si="47"/>
        <v/>
      </c>
    </row>
    <row r="228" spans="1:34">
      <c r="A228" s="9"/>
      <c r="C228" s="4" t="str">
        <f>IFERROR(VLOOKUP(B228,'Code Lists'!$A:$B,2,FALSE),"")</f>
        <v/>
      </c>
      <c r="F228" s="4" t="str">
        <f>IFERROR(VLOOKUP(E228,'Code Lists'!$D:$E,2,FALSE),"")</f>
        <v/>
      </c>
      <c r="H228" s="4" t="str">
        <f>IFERROR(VLOOKUP(G228,'Code Lists'!$G:$H,2,FALSE),"")</f>
        <v/>
      </c>
      <c r="J228" s="10"/>
      <c r="M228" s="11"/>
      <c r="Q228" s="7" t="str">
        <f>IF(VedAarnaSKUMaster[[#This Row],[HSN/SAC Code]]=998822,5%,IF(VedAarnaSKUMaster[[#This Row],[HSN/SAC Code]]=998391,18%,IF(VedAarnaSKUMaster[[#This Row],[HSN/SAC Code]]=998723,5%,"")))</f>
        <v/>
      </c>
      <c r="R228" s="5" t="str">
        <f t="shared" si="37"/>
        <v/>
      </c>
      <c r="S228" s="5" t="str">
        <f t="shared" si="38"/>
        <v/>
      </c>
      <c r="T228" s="11"/>
      <c r="U228" s="8" t="str">
        <f>IF(OR(VedAarnaSKUMaster[[#This Row],[Selling Price]]="",VedAarnaSKUMaster[[#This Row],[Selling Price]]=0),"",CEILING(VedAarnaSKUMaster[[#This Row],[Selling Price]]/(1-20%),100)-1)</f>
        <v/>
      </c>
      <c r="V228">
        <f t="shared" si="48"/>
        <v>0</v>
      </c>
      <c r="W228" s="8"/>
      <c r="Z228" s="6" t="str">
        <f t="shared" si="39"/>
        <v/>
      </c>
      <c r="AA228" s="6" t="str">
        <f t="shared" si="40"/>
        <v/>
      </c>
      <c r="AB228" s="6" t="str">
        <f t="shared" si="41"/>
        <v/>
      </c>
      <c r="AC228" s="6" t="str">
        <f t="shared" si="42"/>
        <v/>
      </c>
      <c r="AD228" s="6" t="str">
        <f t="shared" si="43"/>
        <v/>
      </c>
      <c r="AE228" s="6" t="str">
        <f t="shared" si="44"/>
        <v/>
      </c>
      <c r="AF228" s="6" t="str">
        <f t="shared" si="45"/>
        <v/>
      </c>
      <c r="AG228" s="6" t="str">
        <f t="shared" si="46"/>
        <v/>
      </c>
      <c r="AH228" s="6" t="str">
        <f t="shared" si="47"/>
        <v/>
      </c>
    </row>
    <row r="229" spans="1:34">
      <c r="A229" s="9"/>
      <c r="C229" s="4" t="str">
        <f>IFERROR(VLOOKUP(B229,'Code Lists'!$A:$B,2,FALSE),"")</f>
        <v/>
      </c>
      <c r="F229" s="4" t="str">
        <f>IFERROR(VLOOKUP(E229,'Code Lists'!$D:$E,2,FALSE),"")</f>
        <v/>
      </c>
      <c r="H229" s="4" t="str">
        <f>IFERROR(VLOOKUP(G229,'Code Lists'!$G:$H,2,FALSE),"")</f>
        <v/>
      </c>
      <c r="J229" s="10"/>
      <c r="M229" s="11"/>
      <c r="Q229" s="7" t="str">
        <f>IF(VedAarnaSKUMaster[[#This Row],[HSN/SAC Code]]=998822,5%,IF(VedAarnaSKUMaster[[#This Row],[HSN/SAC Code]]=998391,18%,IF(VedAarnaSKUMaster[[#This Row],[HSN/SAC Code]]=998723,5%,"")))</f>
        <v/>
      </c>
      <c r="R229" s="5" t="str">
        <f t="shared" si="37"/>
        <v/>
      </c>
      <c r="S229" s="5" t="str">
        <f t="shared" si="38"/>
        <v/>
      </c>
      <c r="T229" s="11"/>
      <c r="U229" s="8" t="str">
        <f>IF(OR(VedAarnaSKUMaster[[#This Row],[Selling Price]]="",VedAarnaSKUMaster[[#This Row],[Selling Price]]=0),"",CEILING(VedAarnaSKUMaster[[#This Row],[Selling Price]]/(1-20%),100)-1)</f>
        <v/>
      </c>
      <c r="V229">
        <f t="shared" si="48"/>
        <v>0</v>
      </c>
      <c r="W229" s="8"/>
      <c r="Z229" s="6" t="str">
        <f t="shared" si="39"/>
        <v/>
      </c>
      <c r="AA229" s="6" t="str">
        <f t="shared" si="40"/>
        <v/>
      </c>
      <c r="AB229" s="6" t="str">
        <f t="shared" si="41"/>
        <v/>
      </c>
      <c r="AC229" s="6" t="str">
        <f t="shared" si="42"/>
        <v/>
      </c>
      <c r="AD229" s="6" t="str">
        <f t="shared" si="43"/>
        <v/>
      </c>
      <c r="AE229" s="6" t="str">
        <f t="shared" si="44"/>
        <v/>
      </c>
      <c r="AF229" s="6" t="str">
        <f t="shared" si="45"/>
        <v/>
      </c>
      <c r="AG229" s="6" t="str">
        <f t="shared" si="46"/>
        <v/>
      </c>
      <c r="AH229" s="6" t="str">
        <f t="shared" si="47"/>
        <v/>
      </c>
    </row>
    <row r="230" spans="1:34">
      <c r="A230" s="9"/>
      <c r="C230" s="4" t="str">
        <f>IFERROR(VLOOKUP(B230,'Code Lists'!$A:$B,2,FALSE),"")</f>
        <v/>
      </c>
      <c r="F230" s="4" t="str">
        <f>IFERROR(VLOOKUP(E230,'Code Lists'!$D:$E,2,FALSE),"")</f>
        <v/>
      </c>
      <c r="H230" s="4" t="str">
        <f>IFERROR(VLOOKUP(G230,'Code Lists'!$G:$H,2,FALSE),"")</f>
        <v/>
      </c>
      <c r="J230" s="10"/>
      <c r="M230" s="11"/>
      <c r="Q230" s="7" t="str">
        <f>IF(VedAarnaSKUMaster[[#This Row],[HSN/SAC Code]]=998822,5%,IF(VedAarnaSKUMaster[[#This Row],[HSN/SAC Code]]=998391,18%,IF(VedAarnaSKUMaster[[#This Row],[HSN/SAC Code]]=998723,5%,"")))</f>
        <v/>
      </c>
      <c r="R230" s="5" t="str">
        <f t="shared" si="37"/>
        <v/>
      </c>
      <c r="S230" s="5" t="str">
        <f t="shared" si="38"/>
        <v/>
      </c>
      <c r="T230" s="11"/>
      <c r="U230" s="8" t="str">
        <f>IF(OR(VedAarnaSKUMaster[[#This Row],[Selling Price]]="",VedAarnaSKUMaster[[#This Row],[Selling Price]]=0),"",CEILING(VedAarnaSKUMaster[[#This Row],[Selling Price]]/(1-20%),100)-1)</f>
        <v/>
      </c>
      <c r="V230">
        <f t="shared" si="48"/>
        <v>0</v>
      </c>
      <c r="W230" s="8"/>
      <c r="Z230" s="6" t="str">
        <f t="shared" si="39"/>
        <v/>
      </c>
      <c r="AA230" s="6" t="str">
        <f t="shared" si="40"/>
        <v/>
      </c>
      <c r="AB230" s="6" t="str">
        <f t="shared" si="41"/>
        <v/>
      </c>
      <c r="AC230" s="6" t="str">
        <f t="shared" si="42"/>
        <v/>
      </c>
      <c r="AD230" s="6" t="str">
        <f t="shared" si="43"/>
        <v/>
      </c>
      <c r="AE230" s="6" t="str">
        <f t="shared" si="44"/>
        <v/>
      </c>
      <c r="AF230" s="6" t="str">
        <f t="shared" si="45"/>
        <v/>
      </c>
      <c r="AG230" s="6" t="str">
        <f t="shared" si="46"/>
        <v/>
      </c>
      <c r="AH230" s="6" t="str">
        <f t="shared" si="47"/>
        <v/>
      </c>
    </row>
    <row r="231" spans="1:34">
      <c r="A231" s="9"/>
      <c r="C231" s="4" t="str">
        <f>IFERROR(VLOOKUP(B231,'Code Lists'!$A:$B,2,FALSE),"")</f>
        <v/>
      </c>
      <c r="F231" s="4" t="str">
        <f>IFERROR(VLOOKUP(E231,'Code Lists'!$D:$E,2,FALSE),"")</f>
        <v/>
      </c>
      <c r="H231" s="4" t="str">
        <f>IFERROR(VLOOKUP(G231,'Code Lists'!$G:$H,2,FALSE),"")</f>
        <v/>
      </c>
      <c r="J231" s="10"/>
      <c r="M231" s="11"/>
      <c r="Q231" s="7" t="str">
        <f>IF(VedAarnaSKUMaster[[#This Row],[HSN/SAC Code]]=998822,5%,IF(VedAarnaSKUMaster[[#This Row],[HSN/SAC Code]]=998391,18%,IF(VedAarnaSKUMaster[[#This Row],[HSN/SAC Code]]=998723,5%,"")))</f>
        <v/>
      </c>
      <c r="R231" s="5" t="str">
        <f t="shared" si="37"/>
        <v/>
      </c>
      <c r="S231" s="5" t="str">
        <f t="shared" si="38"/>
        <v/>
      </c>
      <c r="T231" s="11"/>
      <c r="U231" s="8" t="str">
        <f>IF(OR(VedAarnaSKUMaster[[#This Row],[Selling Price]]="",VedAarnaSKUMaster[[#This Row],[Selling Price]]=0),"",CEILING(VedAarnaSKUMaster[[#This Row],[Selling Price]]/(1-20%),100)-1)</f>
        <v/>
      </c>
      <c r="V231">
        <f t="shared" si="48"/>
        <v>0</v>
      </c>
      <c r="W231" s="8"/>
      <c r="Z231" s="6" t="str">
        <f t="shared" si="39"/>
        <v/>
      </c>
      <c r="AA231" s="6" t="str">
        <f t="shared" si="40"/>
        <v/>
      </c>
      <c r="AB231" s="6" t="str">
        <f t="shared" si="41"/>
        <v/>
      </c>
      <c r="AC231" s="6" t="str">
        <f t="shared" si="42"/>
        <v/>
      </c>
      <c r="AD231" s="6" t="str">
        <f t="shared" si="43"/>
        <v/>
      </c>
      <c r="AE231" s="6" t="str">
        <f t="shared" si="44"/>
        <v/>
      </c>
      <c r="AF231" s="6" t="str">
        <f t="shared" si="45"/>
        <v/>
      </c>
      <c r="AG231" s="6" t="str">
        <f t="shared" si="46"/>
        <v/>
      </c>
      <c r="AH231" s="6" t="str">
        <f t="shared" si="47"/>
        <v/>
      </c>
    </row>
    <row r="232" spans="1:34">
      <c r="A232" s="9"/>
      <c r="C232" s="4" t="str">
        <f>IFERROR(VLOOKUP(B232,'Code Lists'!$A:$B,2,FALSE),"")</f>
        <v/>
      </c>
      <c r="F232" s="4" t="str">
        <f>IFERROR(VLOOKUP(E232,'Code Lists'!$D:$E,2,FALSE),"")</f>
        <v/>
      </c>
      <c r="H232" s="4" t="str">
        <f>IFERROR(VLOOKUP(G232,'Code Lists'!$G:$H,2,FALSE),"")</f>
        <v/>
      </c>
      <c r="J232" s="10"/>
      <c r="M232" s="11"/>
      <c r="Q232" s="7" t="str">
        <f>IF(VedAarnaSKUMaster[[#This Row],[HSN/SAC Code]]=998822,5%,IF(VedAarnaSKUMaster[[#This Row],[HSN/SAC Code]]=998391,18%,IF(VedAarnaSKUMaster[[#This Row],[HSN/SAC Code]]=998723,5%,"")))</f>
        <v/>
      </c>
      <c r="R232" s="5" t="str">
        <f t="shared" si="37"/>
        <v/>
      </c>
      <c r="S232" s="5" t="str">
        <f t="shared" si="38"/>
        <v/>
      </c>
      <c r="T232" s="11"/>
      <c r="U232" s="8" t="str">
        <f>IF(OR(VedAarnaSKUMaster[[#This Row],[Selling Price]]="",VedAarnaSKUMaster[[#This Row],[Selling Price]]=0),"",CEILING(VedAarnaSKUMaster[[#This Row],[Selling Price]]/(1-20%),100)-1)</f>
        <v/>
      </c>
      <c r="V232">
        <f t="shared" si="48"/>
        <v>0</v>
      </c>
      <c r="W232" s="8"/>
      <c r="Z232" s="6" t="str">
        <f t="shared" si="39"/>
        <v/>
      </c>
      <c r="AA232" s="6" t="str">
        <f t="shared" si="40"/>
        <v/>
      </c>
      <c r="AB232" s="6" t="str">
        <f t="shared" si="41"/>
        <v/>
      </c>
      <c r="AC232" s="6" t="str">
        <f t="shared" si="42"/>
        <v/>
      </c>
      <c r="AD232" s="6" t="str">
        <f t="shared" si="43"/>
        <v/>
      </c>
      <c r="AE232" s="6" t="str">
        <f t="shared" si="44"/>
        <v/>
      </c>
      <c r="AF232" s="6" t="str">
        <f t="shared" si="45"/>
        <v/>
      </c>
      <c r="AG232" s="6" t="str">
        <f t="shared" si="46"/>
        <v/>
      </c>
      <c r="AH232" s="6" t="str">
        <f t="shared" si="47"/>
        <v/>
      </c>
    </row>
    <row r="233" spans="1:34">
      <c r="A233" s="9"/>
      <c r="C233" s="4" t="str">
        <f>IFERROR(VLOOKUP(B233,'Code Lists'!$A:$B,2,FALSE),"")</f>
        <v/>
      </c>
      <c r="F233" s="4" t="str">
        <f>IFERROR(VLOOKUP(E233,'Code Lists'!$D:$E,2,FALSE),"")</f>
        <v/>
      </c>
      <c r="H233" s="4" t="str">
        <f>IFERROR(VLOOKUP(G233,'Code Lists'!$G:$H,2,FALSE),"")</f>
        <v/>
      </c>
      <c r="J233" s="10"/>
      <c r="M233" s="11"/>
      <c r="Q233" s="7" t="str">
        <f>IF(VedAarnaSKUMaster[[#This Row],[HSN/SAC Code]]=998822,5%,IF(VedAarnaSKUMaster[[#This Row],[HSN/SAC Code]]=998391,18%,IF(VedAarnaSKUMaster[[#This Row],[HSN/SAC Code]]=998723,5%,"")))</f>
        <v/>
      </c>
      <c r="R233" s="5" t="str">
        <f t="shared" si="37"/>
        <v/>
      </c>
      <c r="S233" s="5" t="str">
        <f t="shared" si="38"/>
        <v/>
      </c>
      <c r="T233" s="11"/>
      <c r="U233" s="8" t="str">
        <f>IF(OR(VedAarnaSKUMaster[[#This Row],[Selling Price]]="",VedAarnaSKUMaster[[#This Row],[Selling Price]]=0),"",CEILING(VedAarnaSKUMaster[[#This Row],[Selling Price]]/(1-20%),100)-1)</f>
        <v/>
      </c>
      <c r="V233">
        <f t="shared" si="48"/>
        <v>0</v>
      </c>
      <c r="W233" s="8"/>
      <c r="Z233" s="6" t="str">
        <f t="shared" si="39"/>
        <v/>
      </c>
      <c r="AA233" s="6" t="str">
        <f t="shared" si="40"/>
        <v/>
      </c>
      <c r="AB233" s="6" t="str">
        <f t="shared" si="41"/>
        <v/>
      </c>
      <c r="AC233" s="6" t="str">
        <f t="shared" si="42"/>
        <v/>
      </c>
      <c r="AD233" s="6" t="str">
        <f t="shared" si="43"/>
        <v/>
      </c>
      <c r="AE233" s="6" t="str">
        <f t="shared" si="44"/>
        <v/>
      </c>
      <c r="AF233" s="6" t="str">
        <f t="shared" si="45"/>
        <v/>
      </c>
      <c r="AG233" s="6" t="str">
        <f t="shared" si="46"/>
        <v/>
      </c>
      <c r="AH233" s="6" t="str">
        <f t="shared" si="47"/>
        <v/>
      </c>
    </row>
    <row r="234" spans="1:34">
      <c r="A234" s="9"/>
      <c r="C234" s="4" t="str">
        <f>IFERROR(VLOOKUP(B234,'Code Lists'!$A:$B,2,FALSE),"")</f>
        <v/>
      </c>
      <c r="F234" s="4" t="str">
        <f>IFERROR(VLOOKUP(E234,'Code Lists'!$D:$E,2,FALSE),"")</f>
        <v/>
      </c>
      <c r="H234" s="4" t="str">
        <f>IFERROR(VLOOKUP(G234,'Code Lists'!$G:$H,2,FALSE),"")</f>
        <v/>
      </c>
      <c r="J234" s="10"/>
      <c r="M234" s="11"/>
      <c r="Q234" s="7" t="str">
        <f>IF(VedAarnaSKUMaster[[#This Row],[HSN/SAC Code]]=998822,5%,IF(VedAarnaSKUMaster[[#This Row],[HSN/SAC Code]]=998391,18%,IF(VedAarnaSKUMaster[[#This Row],[HSN/SAC Code]]=998723,5%,"")))</f>
        <v/>
      </c>
      <c r="R234" s="5" t="str">
        <f t="shared" si="37"/>
        <v/>
      </c>
      <c r="S234" s="5" t="str">
        <f t="shared" si="38"/>
        <v/>
      </c>
      <c r="T234" s="11"/>
      <c r="U234" s="8" t="str">
        <f>IF(OR(VedAarnaSKUMaster[[#This Row],[Selling Price]]="",VedAarnaSKUMaster[[#This Row],[Selling Price]]=0),"",CEILING(VedAarnaSKUMaster[[#This Row],[Selling Price]]/(1-20%),100)-1)</f>
        <v/>
      </c>
      <c r="V234">
        <f t="shared" si="48"/>
        <v>0</v>
      </c>
      <c r="W234" s="8"/>
      <c r="Z234" s="6" t="str">
        <f t="shared" si="39"/>
        <v/>
      </c>
      <c r="AA234" s="6" t="str">
        <f t="shared" si="40"/>
        <v/>
      </c>
      <c r="AB234" s="6" t="str">
        <f t="shared" si="41"/>
        <v/>
      </c>
      <c r="AC234" s="6" t="str">
        <f t="shared" si="42"/>
        <v/>
      </c>
      <c r="AD234" s="6" t="str">
        <f t="shared" si="43"/>
        <v/>
      </c>
      <c r="AE234" s="6" t="str">
        <f t="shared" si="44"/>
        <v/>
      </c>
      <c r="AF234" s="6" t="str">
        <f t="shared" si="45"/>
        <v/>
      </c>
      <c r="AG234" s="6" t="str">
        <f t="shared" si="46"/>
        <v/>
      </c>
      <c r="AH234" s="6" t="str">
        <f t="shared" si="47"/>
        <v/>
      </c>
    </row>
    <row r="235" spans="1:34">
      <c r="A235" s="9"/>
      <c r="C235" s="4" t="str">
        <f>IFERROR(VLOOKUP(B235,'Code Lists'!$A:$B,2,FALSE),"")</f>
        <v/>
      </c>
      <c r="F235" s="4" t="str">
        <f>IFERROR(VLOOKUP(E235,'Code Lists'!$D:$E,2,FALSE),"")</f>
        <v/>
      </c>
      <c r="H235" s="4" t="str">
        <f>IFERROR(VLOOKUP(G235,'Code Lists'!$G:$H,2,FALSE),"")</f>
        <v/>
      </c>
      <c r="J235" s="10"/>
      <c r="M235" s="11"/>
      <c r="Q235" s="7" t="str">
        <f>IF(VedAarnaSKUMaster[[#This Row],[HSN/SAC Code]]=998822,5%,IF(VedAarnaSKUMaster[[#This Row],[HSN/SAC Code]]=998391,18%,IF(VedAarnaSKUMaster[[#This Row],[HSN/SAC Code]]=998723,5%,"")))</f>
        <v/>
      </c>
      <c r="R235" s="5" t="str">
        <f t="shared" si="37"/>
        <v/>
      </c>
      <c r="S235" s="5" t="str">
        <f t="shared" si="38"/>
        <v/>
      </c>
      <c r="T235" s="11"/>
      <c r="U235" s="8" t="str">
        <f>IF(OR(VedAarnaSKUMaster[[#This Row],[Selling Price]]="",VedAarnaSKUMaster[[#This Row],[Selling Price]]=0),"",CEILING(VedAarnaSKUMaster[[#This Row],[Selling Price]]/(1-20%),100)-1)</f>
        <v/>
      </c>
      <c r="V235">
        <f t="shared" si="48"/>
        <v>0</v>
      </c>
      <c r="W235" s="8"/>
      <c r="Z235" s="6" t="str">
        <f t="shared" si="39"/>
        <v/>
      </c>
      <c r="AA235" s="6" t="str">
        <f t="shared" si="40"/>
        <v/>
      </c>
      <c r="AB235" s="6" t="str">
        <f t="shared" si="41"/>
        <v/>
      </c>
      <c r="AC235" s="6" t="str">
        <f t="shared" si="42"/>
        <v/>
      </c>
      <c r="AD235" s="6" t="str">
        <f t="shared" si="43"/>
        <v/>
      </c>
      <c r="AE235" s="6" t="str">
        <f t="shared" si="44"/>
        <v/>
      </c>
      <c r="AF235" s="6" t="str">
        <f t="shared" si="45"/>
        <v/>
      </c>
      <c r="AG235" s="6" t="str">
        <f t="shared" si="46"/>
        <v/>
      </c>
      <c r="AH235" s="6" t="str">
        <f t="shared" si="47"/>
        <v/>
      </c>
    </row>
    <row r="236" spans="1:34">
      <c r="A236" s="9"/>
      <c r="C236" s="4" t="str">
        <f>IFERROR(VLOOKUP(B236,'Code Lists'!$A:$B,2,FALSE),"")</f>
        <v/>
      </c>
      <c r="F236" s="4" t="str">
        <f>IFERROR(VLOOKUP(E236,'Code Lists'!$D:$E,2,FALSE),"")</f>
        <v/>
      </c>
      <c r="H236" s="4" t="str">
        <f>IFERROR(VLOOKUP(G236,'Code Lists'!$G:$H,2,FALSE),"")</f>
        <v/>
      </c>
      <c r="J236" s="10"/>
      <c r="M236" s="11"/>
      <c r="Q236" s="7" t="str">
        <f>IF(VedAarnaSKUMaster[[#This Row],[HSN/SAC Code]]=998822,5%,IF(VedAarnaSKUMaster[[#This Row],[HSN/SAC Code]]=998391,18%,IF(VedAarnaSKUMaster[[#This Row],[HSN/SAC Code]]=998723,5%,"")))</f>
        <v/>
      </c>
      <c r="R236" s="5" t="str">
        <f t="shared" si="37"/>
        <v/>
      </c>
      <c r="S236" s="5" t="str">
        <f t="shared" si="38"/>
        <v/>
      </c>
      <c r="T236" s="11"/>
      <c r="U236" s="8" t="str">
        <f>IF(OR(VedAarnaSKUMaster[[#This Row],[Selling Price]]="",VedAarnaSKUMaster[[#This Row],[Selling Price]]=0),"",CEILING(VedAarnaSKUMaster[[#This Row],[Selling Price]]/(1-20%),100)-1)</f>
        <v/>
      </c>
      <c r="V236">
        <f t="shared" si="48"/>
        <v>0</v>
      </c>
      <c r="W236" s="8"/>
      <c r="Z236" s="6" t="str">
        <f t="shared" si="39"/>
        <v/>
      </c>
      <c r="AA236" s="6" t="str">
        <f t="shared" si="40"/>
        <v/>
      </c>
      <c r="AB236" s="6" t="str">
        <f t="shared" si="41"/>
        <v/>
      </c>
      <c r="AC236" s="6" t="str">
        <f t="shared" si="42"/>
        <v/>
      </c>
      <c r="AD236" s="6" t="str">
        <f t="shared" si="43"/>
        <v/>
      </c>
      <c r="AE236" s="6" t="str">
        <f t="shared" si="44"/>
        <v/>
      </c>
      <c r="AF236" s="6" t="str">
        <f t="shared" si="45"/>
        <v/>
      </c>
      <c r="AG236" s="6" t="str">
        <f t="shared" si="46"/>
        <v/>
      </c>
      <c r="AH236" s="6" t="str">
        <f t="shared" si="47"/>
        <v/>
      </c>
    </row>
    <row r="237" spans="1:34">
      <c r="A237" s="9"/>
      <c r="C237" s="4" t="str">
        <f>IFERROR(VLOOKUP(B237,'Code Lists'!$A:$B,2,FALSE),"")</f>
        <v/>
      </c>
      <c r="F237" s="4" t="str">
        <f>IFERROR(VLOOKUP(E237,'Code Lists'!$D:$E,2,FALSE),"")</f>
        <v/>
      </c>
      <c r="H237" s="4" t="str">
        <f>IFERROR(VLOOKUP(G237,'Code Lists'!$G:$H,2,FALSE),"")</f>
        <v/>
      </c>
      <c r="J237" s="10"/>
      <c r="M237" s="11"/>
      <c r="Q237" s="7" t="str">
        <f>IF(VedAarnaSKUMaster[[#This Row],[HSN/SAC Code]]=998822,5%,IF(VedAarnaSKUMaster[[#This Row],[HSN/SAC Code]]=998391,18%,IF(VedAarnaSKUMaster[[#This Row],[HSN/SAC Code]]=998723,5%,"")))</f>
        <v/>
      </c>
      <c r="R237" s="5" t="str">
        <f t="shared" si="37"/>
        <v/>
      </c>
      <c r="S237" s="5" t="str">
        <f t="shared" si="38"/>
        <v/>
      </c>
      <c r="T237" s="11"/>
      <c r="U237" s="8" t="str">
        <f>IF(OR(VedAarnaSKUMaster[[#This Row],[Selling Price]]="",VedAarnaSKUMaster[[#This Row],[Selling Price]]=0),"",CEILING(VedAarnaSKUMaster[[#This Row],[Selling Price]]/(1-20%),100)-1)</f>
        <v/>
      </c>
      <c r="V237">
        <f t="shared" si="48"/>
        <v>0</v>
      </c>
      <c r="W237" s="8"/>
      <c r="Z237" s="6" t="str">
        <f t="shared" si="39"/>
        <v/>
      </c>
      <c r="AA237" s="6" t="str">
        <f t="shared" si="40"/>
        <v/>
      </c>
      <c r="AB237" s="6" t="str">
        <f t="shared" si="41"/>
        <v/>
      </c>
      <c r="AC237" s="6" t="str">
        <f t="shared" si="42"/>
        <v/>
      </c>
      <c r="AD237" s="6" t="str">
        <f t="shared" si="43"/>
        <v/>
      </c>
      <c r="AE237" s="6" t="str">
        <f t="shared" si="44"/>
        <v/>
      </c>
      <c r="AF237" s="6" t="str">
        <f t="shared" si="45"/>
        <v/>
      </c>
      <c r="AG237" s="6" t="str">
        <f t="shared" si="46"/>
        <v/>
      </c>
      <c r="AH237" s="6" t="str">
        <f t="shared" si="47"/>
        <v/>
      </c>
    </row>
    <row r="238" spans="1:34">
      <c r="A238" s="9"/>
      <c r="C238" s="4" t="str">
        <f>IFERROR(VLOOKUP(B238,'Code Lists'!$A:$B,2,FALSE),"")</f>
        <v/>
      </c>
      <c r="F238" s="4" t="str">
        <f>IFERROR(VLOOKUP(E238,'Code Lists'!$D:$E,2,FALSE),"")</f>
        <v/>
      </c>
      <c r="H238" s="4" t="str">
        <f>IFERROR(VLOOKUP(G238,'Code Lists'!$G:$H,2,FALSE),"")</f>
        <v/>
      </c>
      <c r="J238" s="10"/>
      <c r="M238" s="11"/>
      <c r="Q238" s="7" t="str">
        <f>IF(VedAarnaSKUMaster[[#This Row],[HSN/SAC Code]]=998822,5%,IF(VedAarnaSKUMaster[[#This Row],[HSN/SAC Code]]=998391,18%,IF(VedAarnaSKUMaster[[#This Row],[HSN/SAC Code]]=998723,5%,"")))</f>
        <v/>
      </c>
      <c r="R238" s="5" t="str">
        <f t="shared" si="37"/>
        <v/>
      </c>
      <c r="S238" s="5" t="str">
        <f t="shared" si="38"/>
        <v/>
      </c>
      <c r="T238" s="11"/>
      <c r="U238" s="8" t="str">
        <f>IF(OR(VedAarnaSKUMaster[[#This Row],[Selling Price]]="",VedAarnaSKUMaster[[#This Row],[Selling Price]]=0),"",CEILING(VedAarnaSKUMaster[[#This Row],[Selling Price]]/(1-20%),100)-1)</f>
        <v/>
      </c>
      <c r="V238">
        <f t="shared" si="48"/>
        <v>0</v>
      </c>
      <c r="W238" s="8"/>
      <c r="Z238" s="6" t="str">
        <f t="shared" si="39"/>
        <v/>
      </c>
      <c r="AA238" s="6" t="str">
        <f t="shared" si="40"/>
        <v/>
      </c>
      <c r="AB238" s="6" t="str">
        <f t="shared" si="41"/>
        <v/>
      </c>
      <c r="AC238" s="6" t="str">
        <f t="shared" si="42"/>
        <v/>
      </c>
      <c r="AD238" s="6" t="str">
        <f t="shared" si="43"/>
        <v/>
      </c>
      <c r="AE238" s="6" t="str">
        <f t="shared" si="44"/>
        <v/>
      </c>
      <c r="AF238" s="6" t="str">
        <f t="shared" si="45"/>
        <v/>
      </c>
      <c r="AG238" s="6" t="str">
        <f t="shared" si="46"/>
        <v/>
      </c>
      <c r="AH238" s="6" t="str">
        <f t="shared" si="47"/>
        <v/>
      </c>
    </row>
    <row r="239" spans="1:34">
      <c r="A239" s="9"/>
      <c r="C239" s="4" t="str">
        <f>IFERROR(VLOOKUP(B239,'Code Lists'!$A:$B,2,FALSE),"")</f>
        <v/>
      </c>
      <c r="F239" s="4" t="str">
        <f>IFERROR(VLOOKUP(E239,'Code Lists'!$D:$E,2,FALSE),"")</f>
        <v/>
      </c>
      <c r="H239" s="4" t="str">
        <f>IFERROR(VLOOKUP(G239,'Code Lists'!$G:$H,2,FALSE),"")</f>
        <v/>
      </c>
      <c r="J239" s="10"/>
      <c r="M239" s="11"/>
      <c r="Q239" s="7" t="str">
        <f>IF(VedAarnaSKUMaster[[#This Row],[HSN/SAC Code]]=998822,5%,IF(VedAarnaSKUMaster[[#This Row],[HSN/SAC Code]]=998391,18%,IF(VedAarnaSKUMaster[[#This Row],[HSN/SAC Code]]=998723,5%,"")))</f>
        <v/>
      </c>
      <c r="R239" s="5" t="str">
        <f t="shared" si="37"/>
        <v/>
      </c>
      <c r="S239" s="5" t="str">
        <f t="shared" si="38"/>
        <v/>
      </c>
      <c r="T239" s="11"/>
      <c r="U239" s="8" t="str">
        <f>IF(OR(VedAarnaSKUMaster[[#This Row],[Selling Price]]="",VedAarnaSKUMaster[[#This Row],[Selling Price]]=0),"",CEILING(VedAarnaSKUMaster[[#This Row],[Selling Price]]/(1-20%),100)-1)</f>
        <v/>
      </c>
      <c r="V239">
        <f t="shared" si="48"/>
        <v>0</v>
      </c>
      <c r="W239" s="8"/>
      <c r="Z239" s="6" t="str">
        <f t="shared" si="39"/>
        <v/>
      </c>
      <c r="AA239" s="6" t="str">
        <f t="shared" si="40"/>
        <v/>
      </c>
      <c r="AB239" s="6" t="str">
        <f t="shared" si="41"/>
        <v/>
      </c>
      <c r="AC239" s="6" t="str">
        <f t="shared" si="42"/>
        <v/>
      </c>
      <c r="AD239" s="6" t="str">
        <f t="shared" si="43"/>
        <v/>
      </c>
      <c r="AE239" s="6" t="str">
        <f t="shared" si="44"/>
        <v/>
      </c>
      <c r="AF239" s="6" t="str">
        <f t="shared" si="45"/>
        <v/>
      </c>
      <c r="AG239" s="6" t="str">
        <f t="shared" si="46"/>
        <v/>
      </c>
      <c r="AH239" s="6" t="str">
        <f t="shared" si="47"/>
        <v/>
      </c>
    </row>
    <row r="240" spans="1:34">
      <c r="A240" s="9"/>
      <c r="C240" s="4" t="str">
        <f>IFERROR(VLOOKUP(B240,'Code Lists'!$A:$B,2,FALSE),"")</f>
        <v/>
      </c>
      <c r="F240" s="4" t="str">
        <f>IFERROR(VLOOKUP(E240,'Code Lists'!$D:$E,2,FALSE),"")</f>
        <v/>
      </c>
      <c r="H240" s="4" t="str">
        <f>IFERROR(VLOOKUP(G240,'Code Lists'!$G:$H,2,FALSE),"")</f>
        <v/>
      </c>
      <c r="J240" s="10"/>
      <c r="M240" s="11"/>
      <c r="Q240" s="7" t="str">
        <f>IF(VedAarnaSKUMaster[[#This Row],[HSN/SAC Code]]=998822,5%,IF(VedAarnaSKUMaster[[#This Row],[HSN/SAC Code]]=998391,18%,IF(VedAarnaSKUMaster[[#This Row],[HSN/SAC Code]]=998723,5%,"")))</f>
        <v/>
      </c>
      <c r="R240" s="5" t="str">
        <f t="shared" si="37"/>
        <v/>
      </c>
      <c r="S240" s="5" t="str">
        <f t="shared" si="38"/>
        <v/>
      </c>
      <c r="T240" s="11"/>
      <c r="U240" s="8" t="str">
        <f>IF(OR(VedAarnaSKUMaster[[#This Row],[Selling Price]]="",VedAarnaSKUMaster[[#This Row],[Selling Price]]=0),"",CEILING(VedAarnaSKUMaster[[#This Row],[Selling Price]]/(1-20%),100)-1)</f>
        <v/>
      </c>
      <c r="V240">
        <f t="shared" si="48"/>
        <v>0</v>
      </c>
      <c r="W240" s="8"/>
      <c r="Z240" s="6" t="str">
        <f t="shared" si="39"/>
        <v/>
      </c>
      <c r="AA240" s="6" t="str">
        <f t="shared" si="40"/>
        <v/>
      </c>
      <c r="AB240" s="6" t="str">
        <f t="shared" si="41"/>
        <v/>
      </c>
      <c r="AC240" s="6" t="str">
        <f t="shared" si="42"/>
        <v/>
      </c>
      <c r="AD240" s="6" t="str">
        <f t="shared" si="43"/>
        <v/>
      </c>
      <c r="AE240" s="6" t="str">
        <f t="shared" si="44"/>
        <v/>
      </c>
      <c r="AF240" s="6" t="str">
        <f t="shared" si="45"/>
        <v/>
      </c>
      <c r="AG240" s="6" t="str">
        <f t="shared" si="46"/>
        <v/>
      </c>
      <c r="AH240" s="6" t="str">
        <f t="shared" si="47"/>
        <v/>
      </c>
    </row>
    <row r="241" spans="1:34">
      <c r="A241" s="9"/>
      <c r="C241" s="4" t="str">
        <f>IFERROR(VLOOKUP(B241,'Code Lists'!$A:$B,2,FALSE),"")</f>
        <v/>
      </c>
      <c r="F241" s="4" t="str">
        <f>IFERROR(VLOOKUP(E241,'Code Lists'!$D:$E,2,FALSE),"")</f>
        <v/>
      </c>
      <c r="H241" s="4" t="str">
        <f>IFERROR(VLOOKUP(G241,'Code Lists'!$G:$H,2,FALSE),"")</f>
        <v/>
      </c>
      <c r="J241" s="10"/>
      <c r="M241" s="11"/>
      <c r="Q241" s="7" t="str">
        <f>IF(VedAarnaSKUMaster[[#This Row],[HSN/SAC Code]]=998822,5%,IF(VedAarnaSKUMaster[[#This Row],[HSN/SAC Code]]=998391,18%,IF(VedAarnaSKUMaster[[#This Row],[HSN/SAC Code]]=998723,5%,"")))</f>
        <v/>
      </c>
      <c r="R241" s="5" t="str">
        <f t="shared" si="37"/>
        <v/>
      </c>
      <c r="S241" s="5" t="str">
        <f t="shared" si="38"/>
        <v/>
      </c>
      <c r="T241" s="11"/>
      <c r="U241" s="8" t="str">
        <f>IF(OR(VedAarnaSKUMaster[[#This Row],[Selling Price]]="",VedAarnaSKUMaster[[#This Row],[Selling Price]]=0),"",CEILING(VedAarnaSKUMaster[[#This Row],[Selling Price]]/(1-20%),100)-1)</f>
        <v/>
      </c>
      <c r="V241">
        <f t="shared" si="48"/>
        <v>0</v>
      </c>
      <c r="W241" s="8"/>
      <c r="Z241" s="6" t="str">
        <f t="shared" si="39"/>
        <v/>
      </c>
      <c r="AA241" s="6" t="str">
        <f t="shared" si="40"/>
        <v/>
      </c>
      <c r="AB241" s="6" t="str">
        <f t="shared" si="41"/>
        <v/>
      </c>
      <c r="AC241" s="6" t="str">
        <f t="shared" si="42"/>
        <v/>
      </c>
      <c r="AD241" s="6" t="str">
        <f t="shared" si="43"/>
        <v/>
      </c>
      <c r="AE241" s="6" t="str">
        <f t="shared" si="44"/>
        <v/>
      </c>
      <c r="AF241" s="6" t="str">
        <f t="shared" si="45"/>
        <v/>
      </c>
      <c r="AG241" s="6" t="str">
        <f t="shared" si="46"/>
        <v/>
      </c>
      <c r="AH241" s="6" t="str">
        <f t="shared" si="47"/>
        <v/>
      </c>
    </row>
    <row r="242" spans="1:34">
      <c r="A242" s="9"/>
      <c r="C242" s="4" t="str">
        <f>IFERROR(VLOOKUP(B242,'Code Lists'!$A:$B,2,FALSE),"")</f>
        <v/>
      </c>
      <c r="F242" s="4" t="str">
        <f>IFERROR(VLOOKUP(E242,'Code Lists'!$D:$E,2,FALSE),"")</f>
        <v/>
      </c>
      <c r="H242" s="4" t="str">
        <f>IFERROR(VLOOKUP(G242,'Code Lists'!$G:$H,2,FALSE),"")</f>
        <v/>
      </c>
      <c r="J242" s="10"/>
      <c r="M242" s="11"/>
      <c r="Q242" s="7" t="str">
        <f>IF(VedAarnaSKUMaster[[#This Row],[HSN/SAC Code]]=998822,5%,IF(VedAarnaSKUMaster[[#This Row],[HSN/SAC Code]]=998391,18%,IF(VedAarnaSKUMaster[[#This Row],[HSN/SAC Code]]=998723,5%,"")))</f>
        <v/>
      </c>
      <c r="R242" s="5" t="str">
        <f t="shared" si="37"/>
        <v/>
      </c>
      <c r="S242" s="5" t="str">
        <f t="shared" si="38"/>
        <v/>
      </c>
      <c r="T242" s="11"/>
      <c r="U242" s="8" t="str">
        <f>IF(OR(VedAarnaSKUMaster[[#This Row],[Selling Price]]="",VedAarnaSKUMaster[[#This Row],[Selling Price]]=0),"",CEILING(VedAarnaSKUMaster[[#This Row],[Selling Price]]/(1-20%),100)-1)</f>
        <v/>
      </c>
      <c r="V242">
        <f t="shared" si="48"/>
        <v>0</v>
      </c>
      <c r="W242" s="8"/>
      <c r="Z242" s="6" t="str">
        <f t="shared" si="39"/>
        <v/>
      </c>
      <c r="AA242" s="6" t="str">
        <f t="shared" si="40"/>
        <v/>
      </c>
      <c r="AB242" s="6" t="str">
        <f t="shared" si="41"/>
        <v/>
      </c>
      <c r="AC242" s="6" t="str">
        <f t="shared" si="42"/>
        <v/>
      </c>
      <c r="AD242" s="6" t="str">
        <f t="shared" si="43"/>
        <v/>
      </c>
      <c r="AE242" s="6" t="str">
        <f t="shared" si="44"/>
        <v/>
      </c>
      <c r="AF242" s="6" t="str">
        <f t="shared" si="45"/>
        <v/>
      </c>
      <c r="AG242" s="6" t="str">
        <f t="shared" si="46"/>
        <v/>
      </c>
      <c r="AH242" s="6" t="str">
        <f t="shared" si="47"/>
        <v/>
      </c>
    </row>
    <row r="243" spans="1:34">
      <c r="A243" s="9"/>
      <c r="C243" s="4" t="str">
        <f>IFERROR(VLOOKUP(B243,'Code Lists'!$A:$B,2,FALSE),"")</f>
        <v/>
      </c>
      <c r="F243" s="4" t="str">
        <f>IFERROR(VLOOKUP(E243,'Code Lists'!$D:$E,2,FALSE),"")</f>
        <v/>
      </c>
      <c r="H243" s="4" t="str">
        <f>IFERROR(VLOOKUP(G243,'Code Lists'!$G:$H,2,FALSE),"")</f>
        <v/>
      </c>
      <c r="J243" s="10"/>
      <c r="M243" s="11"/>
      <c r="Q243" s="7" t="str">
        <f>IF(VedAarnaSKUMaster[[#This Row],[HSN/SAC Code]]=998822,5%,IF(VedAarnaSKUMaster[[#This Row],[HSN/SAC Code]]=998391,18%,IF(VedAarnaSKUMaster[[#This Row],[HSN/SAC Code]]=998723,5%,"")))</f>
        <v/>
      </c>
      <c r="R243" s="5" t="str">
        <f t="shared" si="37"/>
        <v/>
      </c>
      <c r="S243" s="5" t="str">
        <f t="shared" si="38"/>
        <v/>
      </c>
      <c r="T243" s="11"/>
      <c r="U243" s="8" t="str">
        <f>IF(OR(VedAarnaSKUMaster[[#This Row],[Selling Price]]="",VedAarnaSKUMaster[[#This Row],[Selling Price]]=0),"",CEILING(VedAarnaSKUMaster[[#This Row],[Selling Price]]/(1-20%),100)-1)</f>
        <v/>
      </c>
      <c r="V243">
        <f t="shared" si="48"/>
        <v>0</v>
      </c>
      <c r="W243" s="8"/>
      <c r="Z243" s="6" t="str">
        <f t="shared" si="39"/>
        <v/>
      </c>
      <c r="AA243" s="6" t="str">
        <f t="shared" si="40"/>
        <v/>
      </c>
      <c r="AB243" s="6" t="str">
        <f t="shared" si="41"/>
        <v/>
      </c>
      <c r="AC243" s="6" t="str">
        <f t="shared" si="42"/>
        <v/>
      </c>
      <c r="AD243" s="6" t="str">
        <f t="shared" si="43"/>
        <v/>
      </c>
      <c r="AE243" s="6" t="str">
        <f t="shared" si="44"/>
        <v/>
      </c>
      <c r="AF243" s="6" t="str">
        <f t="shared" si="45"/>
        <v/>
      </c>
      <c r="AG243" s="6" t="str">
        <f t="shared" si="46"/>
        <v/>
      </c>
      <c r="AH243" s="6" t="str">
        <f t="shared" si="47"/>
        <v/>
      </c>
    </row>
    <row r="244" spans="1:34">
      <c r="A244" s="9"/>
      <c r="C244" s="4" t="str">
        <f>IFERROR(VLOOKUP(B244,'Code Lists'!$A:$B,2,FALSE),"")</f>
        <v/>
      </c>
      <c r="F244" s="4" t="str">
        <f>IFERROR(VLOOKUP(E244,'Code Lists'!$D:$E,2,FALSE),"")</f>
        <v/>
      </c>
      <c r="H244" s="4" t="str">
        <f>IFERROR(VLOOKUP(G244,'Code Lists'!$G:$H,2,FALSE),"")</f>
        <v/>
      </c>
      <c r="J244" s="10"/>
      <c r="M244" s="11"/>
      <c r="Q244" s="7" t="str">
        <f>IF(VedAarnaSKUMaster[[#This Row],[HSN/SAC Code]]=998822,5%,IF(VedAarnaSKUMaster[[#This Row],[HSN/SAC Code]]=998391,18%,IF(VedAarnaSKUMaster[[#This Row],[HSN/SAC Code]]=998723,5%,"")))</f>
        <v/>
      </c>
      <c r="R244" s="5" t="str">
        <f t="shared" si="37"/>
        <v/>
      </c>
      <c r="S244" s="5" t="str">
        <f t="shared" si="38"/>
        <v/>
      </c>
      <c r="T244" s="11"/>
      <c r="U244" s="8" t="str">
        <f>IF(OR(VedAarnaSKUMaster[[#This Row],[Selling Price]]="",VedAarnaSKUMaster[[#This Row],[Selling Price]]=0),"",CEILING(VedAarnaSKUMaster[[#This Row],[Selling Price]]/(1-20%),100)-1)</f>
        <v/>
      </c>
      <c r="V244">
        <f t="shared" si="48"/>
        <v>0</v>
      </c>
      <c r="W244" s="8"/>
      <c r="Z244" s="6" t="str">
        <f t="shared" si="39"/>
        <v/>
      </c>
      <c r="AA244" s="6" t="str">
        <f t="shared" si="40"/>
        <v/>
      </c>
      <c r="AB244" s="6" t="str">
        <f t="shared" si="41"/>
        <v/>
      </c>
      <c r="AC244" s="6" t="str">
        <f t="shared" si="42"/>
        <v/>
      </c>
      <c r="AD244" s="6" t="str">
        <f t="shared" si="43"/>
        <v/>
      </c>
      <c r="AE244" s="6" t="str">
        <f t="shared" si="44"/>
        <v/>
      </c>
      <c r="AF244" s="6" t="str">
        <f t="shared" si="45"/>
        <v/>
      </c>
      <c r="AG244" s="6" t="str">
        <f t="shared" si="46"/>
        <v/>
      </c>
      <c r="AH244" s="6" t="str">
        <f t="shared" si="47"/>
        <v/>
      </c>
    </row>
    <row r="245" spans="1:34">
      <c r="A245" s="9"/>
      <c r="C245" s="4" t="str">
        <f>IFERROR(VLOOKUP(B245,'Code Lists'!$A:$B,2,FALSE),"")</f>
        <v/>
      </c>
      <c r="F245" s="4" t="str">
        <f>IFERROR(VLOOKUP(E245,'Code Lists'!$D:$E,2,FALSE),"")</f>
        <v/>
      </c>
      <c r="H245" s="4" t="str">
        <f>IFERROR(VLOOKUP(G245,'Code Lists'!$G:$H,2,FALSE),"")</f>
        <v/>
      </c>
      <c r="J245" s="10"/>
      <c r="M245" s="11"/>
      <c r="Q245" s="7" t="str">
        <f>IF(VedAarnaSKUMaster[[#This Row],[HSN/SAC Code]]=998822,5%,IF(VedAarnaSKUMaster[[#This Row],[HSN/SAC Code]]=998391,18%,IF(VedAarnaSKUMaster[[#This Row],[HSN/SAC Code]]=998723,5%,"")))</f>
        <v/>
      </c>
      <c r="R245" s="5" t="str">
        <f t="shared" si="37"/>
        <v/>
      </c>
      <c r="S245" s="5" t="str">
        <f t="shared" si="38"/>
        <v/>
      </c>
      <c r="T245" s="11"/>
      <c r="U245" s="8" t="str">
        <f>IF(OR(VedAarnaSKUMaster[[#This Row],[Selling Price]]="",VedAarnaSKUMaster[[#This Row],[Selling Price]]=0),"",CEILING(VedAarnaSKUMaster[[#This Row],[Selling Price]]/(1-20%),100)-1)</f>
        <v/>
      </c>
      <c r="V245">
        <f t="shared" si="48"/>
        <v>0</v>
      </c>
      <c r="W245" s="8"/>
      <c r="Z245" s="6" t="str">
        <f t="shared" si="39"/>
        <v/>
      </c>
      <c r="AA245" s="6" t="str">
        <f t="shared" si="40"/>
        <v/>
      </c>
      <c r="AB245" s="6" t="str">
        <f t="shared" si="41"/>
        <v/>
      </c>
      <c r="AC245" s="6" t="str">
        <f t="shared" si="42"/>
        <v/>
      </c>
      <c r="AD245" s="6" t="str">
        <f t="shared" si="43"/>
        <v/>
      </c>
      <c r="AE245" s="6" t="str">
        <f t="shared" si="44"/>
        <v/>
      </c>
      <c r="AF245" s="6" t="str">
        <f t="shared" si="45"/>
        <v/>
      </c>
      <c r="AG245" s="6" t="str">
        <f t="shared" si="46"/>
        <v/>
      </c>
      <c r="AH245" s="6" t="str">
        <f t="shared" si="47"/>
        <v/>
      </c>
    </row>
    <row r="246" spans="1:34">
      <c r="A246" s="9"/>
      <c r="C246" s="4" t="str">
        <f>IFERROR(VLOOKUP(B246,'Code Lists'!$A:$B,2,FALSE),"")</f>
        <v/>
      </c>
      <c r="F246" s="4" t="str">
        <f>IFERROR(VLOOKUP(E246,'Code Lists'!$D:$E,2,FALSE),"")</f>
        <v/>
      </c>
      <c r="H246" s="4" t="str">
        <f>IFERROR(VLOOKUP(G246,'Code Lists'!$G:$H,2,FALSE),"")</f>
        <v/>
      </c>
      <c r="J246" s="10"/>
      <c r="M246" s="11"/>
      <c r="Q246" s="7" t="str">
        <f>IF(VedAarnaSKUMaster[[#This Row],[HSN/SAC Code]]=998822,5%,IF(VedAarnaSKUMaster[[#This Row],[HSN/SAC Code]]=998391,18%,IF(VedAarnaSKUMaster[[#This Row],[HSN/SAC Code]]=998723,5%,"")))</f>
        <v/>
      </c>
      <c r="R246" s="5" t="str">
        <f t="shared" si="37"/>
        <v/>
      </c>
      <c r="S246" s="5" t="str">
        <f t="shared" si="38"/>
        <v/>
      </c>
      <c r="T246" s="11"/>
      <c r="U246" s="8" t="str">
        <f>IF(OR(VedAarnaSKUMaster[[#This Row],[Selling Price]]="",VedAarnaSKUMaster[[#This Row],[Selling Price]]=0),"",CEILING(VedAarnaSKUMaster[[#This Row],[Selling Price]]/(1-20%),100)-1)</f>
        <v/>
      </c>
      <c r="V246">
        <f t="shared" si="48"/>
        <v>0</v>
      </c>
      <c r="W246" s="8"/>
      <c r="Z246" s="6" t="str">
        <f t="shared" si="39"/>
        <v/>
      </c>
      <c r="AA246" s="6" t="str">
        <f t="shared" si="40"/>
        <v/>
      </c>
      <c r="AB246" s="6" t="str">
        <f t="shared" si="41"/>
        <v/>
      </c>
      <c r="AC246" s="6" t="str">
        <f t="shared" si="42"/>
        <v/>
      </c>
      <c r="AD246" s="6" t="str">
        <f t="shared" si="43"/>
        <v/>
      </c>
      <c r="AE246" s="6" t="str">
        <f t="shared" si="44"/>
        <v/>
      </c>
      <c r="AF246" s="6" t="str">
        <f t="shared" si="45"/>
        <v/>
      </c>
      <c r="AG246" s="6" t="str">
        <f t="shared" si="46"/>
        <v/>
      </c>
      <c r="AH246" s="6" t="str">
        <f t="shared" si="47"/>
        <v/>
      </c>
    </row>
    <row r="247" spans="1:34">
      <c r="A247" s="9"/>
      <c r="C247" s="4" t="str">
        <f>IFERROR(VLOOKUP(B247,'Code Lists'!$A:$B,2,FALSE),"")</f>
        <v/>
      </c>
      <c r="F247" s="4" t="str">
        <f>IFERROR(VLOOKUP(E247,'Code Lists'!$D:$E,2,FALSE),"")</f>
        <v/>
      </c>
      <c r="H247" s="4" t="str">
        <f>IFERROR(VLOOKUP(G247,'Code Lists'!$G:$H,2,FALSE),"")</f>
        <v/>
      </c>
      <c r="J247" s="10"/>
      <c r="M247" s="11"/>
      <c r="Q247" s="7" t="str">
        <f>IF(VedAarnaSKUMaster[[#This Row],[HSN/SAC Code]]=998822,5%,IF(VedAarnaSKUMaster[[#This Row],[HSN/SAC Code]]=998391,18%,IF(VedAarnaSKUMaster[[#This Row],[HSN/SAC Code]]=998723,5%,"")))</f>
        <v/>
      </c>
      <c r="R247" s="5" t="str">
        <f t="shared" si="37"/>
        <v/>
      </c>
      <c r="S247" s="5" t="str">
        <f t="shared" si="38"/>
        <v/>
      </c>
      <c r="T247" s="11"/>
      <c r="U247" s="8" t="str">
        <f>IF(OR(VedAarnaSKUMaster[[#This Row],[Selling Price]]="",VedAarnaSKUMaster[[#This Row],[Selling Price]]=0),"",CEILING(VedAarnaSKUMaster[[#This Row],[Selling Price]]/(1-20%),100)-1)</f>
        <v/>
      </c>
      <c r="V247">
        <f t="shared" si="48"/>
        <v>0</v>
      </c>
      <c r="W247" s="8"/>
      <c r="Z247" s="6" t="str">
        <f t="shared" si="39"/>
        <v/>
      </c>
      <c r="AA247" s="6" t="str">
        <f t="shared" si="40"/>
        <v/>
      </c>
      <c r="AB247" s="6" t="str">
        <f t="shared" si="41"/>
        <v/>
      </c>
      <c r="AC247" s="6" t="str">
        <f t="shared" si="42"/>
        <v/>
      </c>
      <c r="AD247" s="6" t="str">
        <f t="shared" si="43"/>
        <v/>
      </c>
      <c r="AE247" s="6" t="str">
        <f t="shared" si="44"/>
        <v/>
      </c>
      <c r="AF247" s="6" t="str">
        <f t="shared" si="45"/>
        <v/>
      </c>
      <c r="AG247" s="6" t="str">
        <f t="shared" si="46"/>
        <v/>
      </c>
      <c r="AH247" s="6" t="str">
        <f t="shared" si="47"/>
        <v/>
      </c>
    </row>
    <row r="248" spans="1:34">
      <c r="A248" s="9"/>
      <c r="C248" s="4" t="str">
        <f>IFERROR(VLOOKUP(B248,'Code Lists'!$A:$B,2,FALSE),"")</f>
        <v/>
      </c>
      <c r="F248" s="4" t="str">
        <f>IFERROR(VLOOKUP(E248,'Code Lists'!$D:$E,2,FALSE),"")</f>
        <v/>
      </c>
      <c r="H248" s="4" t="str">
        <f>IFERROR(VLOOKUP(G248,'Code Lists'!$G:$H,2,FALSE),"")</f>
        <v/>
      </c>
      <c r="J248" s="10"/>
      <c r="M248" s="11"/>
      <c r="Q248" s="7" t="str">
        <f>IF(VedAarnaSKUMaster[[#This Row],[HSN/SAC Code]]=998822,5%,IF(VedAarnaSKUMaster[[#This Row],[HSN/SAC Code]]=998391,18%,IF(VedAarnaSKUMaster[[#This Row],[HSN/SAC Code]]=998723,5%,"")))</f>
        <v/>
      </c>
      <c r="R248" s="5" t="str">
        <f t="shared" si="37"/>
        <v/>
      </c>
      <c r="S248" s="5" t="str">
        <f t="shared" si="38"/>
        <v/>
      </c>
      <c r="T248" s="11"/>
      <c r="U248" s="8" t="str">
        <f>IF(OR(VedAarnaSKUMaster[[#This Row],[Selling Price]]="",VedAarnaSKUMaster[[#This Row],[Selling Price]]=0),"",CEILING(VedAarnaSKUMaster[[#This Row],[Selling Price]]/(1-20%),100)-1)</f>
        <v/>
      </c>
      <c r="V248">
        <f t="shared" si="48"/>
        <v>0</v>
      </c>
      <c r="W248" s="8"/>
      <c r="Z248" s="6" t="str">
        <f t="shared" si="39"/>
        <v/>
      </c>
      <c r="AA248" s="6" t="str">
        <f t="shared" si="40"/>
        <v/>
      </c>
      <c r="AB248" s="6" t="str">
        <f t="shared" si="41"/>
        <v/>
      </c>
      <c r="AC248" s="6" t="str">
        <f t="shared" si="42"/>
        <v/>
      </c>
      <c r="AD248" s="6" t="str">
        <f t="shared" si="43"/>
        <v/>
      </c>
      <c r="AE248" s="6" t="str">
        <f t="shared" si="44"/>
        <v/>
      </c>
      <c r="AF248" s="6" t="str">
        <f t="shared" si="45"/>
        <v/>
      </c>
      <c r="AG248" s="6" t="str">
        <f t="shared" si="46"/>
        <v/>
      </c>
      <c r="AH248" s="6" t="str">
        <f t="shared" si="47"/>
        <v/>
      </c>
    </row>
    <row r="249" spans="1:34">
      <c r="A249" s="9"/>
      <c r="C249" s="4" t="str">
        <f>IFERROR(VLOOKUP(B249,'Code Lists'!$A:$B,2,FALSE),"")</f>
        <v/>
      </c>
      <c r="F249" s="4" t="str">
        <f>IFERROR(VLOOKUP(E249,'Code Lists'!$D:$E,2,FALSE),"")</f>
        <v/>
      </c>
      <c r="H249" s="4" t="str">
        <f>IFERROR(VLOOKUP(G249,'Code Lists'!$G:$H,2,FALSE),"")</f>
        <v/>
      </c>
      <c r="J249" s="10"/>
      <c r="M249" s="11"/>
      <c r="Q249" s="7" t="str">
        <f>IF(VedAarnaSKUMaster[[#This Row],[HSN/SAC Code]]=998822,5%,IF(VedAarnaSKUMaster[[#This Row],[HSN/SAC Code]]=998391,18%,IF(VedAarnaSKUMaster[[#This Row],[HSN/SAC Code]]=998723,5%,"")))</f>
        <v/>
      </c>
      <c r="R249" s="5" t="str">
        <f t="shared" si="37"/>
        <v/>
      </c>
      <c r="S249" s="5" t="str">
        <f t="shared" si="38"/>
        <v/>
      </c>
      <c r="T249" s="11"/>
      <c r="U249" s="8" t="str">
        <f>IF(OR(VedAarnaSKUMaster[[#This Row],[Selling Price]]="",VedAarnaSKUMaster[[#This Row],[Selling Price]]=0),"",CEILING(VedAarnaSKUMaster[[#This Row],[Selling Price]]/(1-20%),100)-1)</f>
        <v/>
      </c>
      <c r="V249">
        <f t="shared" si="48"/>
        <v>0</v>
      </c>
      <c r="W249" s="8"/>
      <c r="Z249" s="6" t="str">
        <f t="shared" si="39"/>
        <v/>
      </c>
      <c r="AA249" s="6" t="str">
        <f t="shared" si="40"/>
        <v/>
      </c>
      <c r="AB249" s="6" t="str">
        <f t="shared" si="41"/>
        <v/>
      </c>
      <c r="AC249" s="6" t="str">
        <f t="shared" si="42"/>
        <v/>
      </c>
      <c r="AD249" s="6" t="str">
        <f t="shared" si="43"/>
        <v/>
      </c>
      <c r="AE249" s="6" t="str">
        <f t="shared" si="44"/>
        <v/>
      </c>
      <c r="AF249" s="6" t="str">
        <f t="shared" si="45"/>
        <v/>
      </c>
      <c r="AG249" s="6" t="str">
        <f t="shared" si="46"/>
        <v/>
      </c>
      <c r="AH249" s="6" t="str">
        <f t="shared" si="47"/>
        <v/>
      </c>
    </row>
    <row r="250" spans="1:34">
      <c r="A250" s="9"/>
      <c r="C250" s="4" t="str">
        <f>IFERROR(VLOOKUP(B250,'Code Lists'!$A:$B,2,FALSE),"")</f>
        <v/>
      </c>
      <c r="F250" s="4" t="str">
        <f>IFERROR(VLOOKUP(E250,'Code Lists'!$D:$E,2,FALSE),"")</f>
        <v/>
      </c>
      <c r="H250" s="4" t="str">
        <f>IFERROR(VLOOKUP(G250,'Code Lists'!$G:$H,2,FALSE),"")</f>
        <v/>
      </c>
      <c r="J250" s="10"/>
      <c r="M250" s="11"/>
      <c r="Q250" s="7" t="str">
        <f>IF(VedAarnaSKUMaster[[#This Row],[HSN/SAC Code]]=998822,5%,IF(VedAarnaSKUMaster[[#This Row],[HSN/SAC Code]]=998391,18%,IF(VedAarnaSKUMaster[[#This Row],[HSN/SAC Code]]=998723,5%,"")))</f>
        <v/>
      </c>
      <c r="R250" s="5" t="str">
        <f t="shared" si="37"/>
        <v/>
      </c>
      <c r="S250" s="5" t="str">
        <f t="shared" si="38"/>
        <v/>
      </c>
      <c r="T250" s="11"/>
      <c r="U250" s="8" t="str">
        <f>IF(OR(VedAarnaSKUMaster[[#This Row],[Selling Price]]="",VedAarnaSKUMaster[[#This Row],[Selling Price]]=0),"",CEILING(VedAarnaSKUMaster[[#This Row],[Selling Price]]/(1-20%),100)-1)</f>
        <v/>
      </c>
      <c r="V250">
        <f t="shared" si="48"/>
        <v>0</v>
      </c>
      <c r="W250" s="8"/>
      <c r="Z250" s="6" t="str">
        <f t="shared" si="39"/>
        <v/>
      </c>
      <c r="AA250" s="6" t="str">
        <f t="shared" si="40"/>
        <v/>
      </c>
      <c r="AB250" s="6" t="str">
        <f t="shared" si="41"/>
        <v/>
      </c>
      <c r="AC250" s="6" t="str">
        <f t="shared" si="42"/>
        <v/>
      </c>
      <c r="AD250" s="6" t="str">
        <f t="shared" si="43"/>
        <v/>
      </c>
      <c r="AE250" s="6" t="str">
        <f t="shared" si="44"/>
        <v/>
      </c>
      <c r="AF250" s="6" t="str">
        <f t="shared" si="45"/>
        <v/>
      </c>
      <c r="AG250" s="6" t="str">
        <f t="shared" si="46"/>
        <v/>
      </c>
      <c r="AH250" s="6" t="str">
        <f t="shared" si="47"/>
        <v/>
      </c>
    </row>
    <row r="251" spans="1:34">
      <c r="A251" s="9"/>
      <c r="C251" s="4" t="str">
        <f>IFERROR(VLOOKUP(B251,'Code Lists'!$A:$B,2,FALSE),"")</f>
        <v/>
      </c>
      <c r="F251" s="4" t="str">
        <f>IFERROR(VLOOKUP(E251,'Code Lists'!$D:$E,2,FALSE),"")</f>
        <v/>
      </c>
      <c r="H251" s="4" t="str">
        <f>IFERROR(VLOOKUP(G251,'Code Lists'!$G:$H,2,FALSE),"")</f>
        <v/>
      </c>
      <c r="J251" s="10"/>
      <c r="M251" s="11"/>
      <c r="Q251" s="7" t="str">
        <f>IF(VedAarnaSKUMaster[[#This Row],[HSN/SAC Code]]=998822,5%,IF(VedAarnaSKUMaster[[#This Row],[HSN/SAC Code]]=998391,18%,IF(VedAarnaSKUMaster[[#This Row],[HSN/SAC Code]]=998723,5%,"")))</f>
        <v/>
      </c>
      <c r="R251" s="5" t="str">
        <f t="shared" si="37"/>
        <v/>
      </c>
      <c r="S251" s="5" t="str">
        <f t="shared" si="38"/>
        <v/>
      </c>
      <c r="T251" s="11"/>
      <c r="U251" s="8" t="str">
        <f>IF(OR(VedAarnaSKUMaster[[#This Row],[Selling Price]]="",VedAarnaSKUMaster[[#This Row],[Selling Price]]=0),"",CEILING(VedAarnaSKUMaster[[#This Row],[Selling Price]]/(1-20%),100)-1)</f>
        <v/>
      </c>
      <c r="V251">
        <f t="shared" si="48"/>
        <v>0</v>
      </c>
      <c r="W251" s="8"/>
      <c r="Z251" s="6" t="str">
        <f t="shared" si="39"/>
        <v/>
      </c>
      <c r="AA251" s="6" t="str">
        <f t="shared" si="40"/>
        <v/>
      </c>
      <c r="AB251" s="6" t="str">
        <f t="shared" si="41"/>
        <v/>
      </c>
      <c r="AC251" s="6" t="str">
        <f t="shared" si="42"/>
        <v/>
      </c>
      <c r="AD251" s="6" t="str">
        <f t="shared" si="43"/>
        <v/>
      </c>
      <c r="AE251" s="6" t="str">
        <f t="shared" si="44"/>
        <v/>
      </c>
      <c r="AF251" s="6" t="str">
        <f t="shared" si="45"/>
        <v/>
      </c>
      <c r="AG251" s="6" t="str">
        <f t="shared" si="46"/>
        <v/>
      </c>
      <c r="AH251" s="6" t="str">
        <f t="shared" si="47"/>
        <v/>
      </c>
    </row>
    <row r="252" spans="1:34">
      <c r="A252" s="9"/>
      <c r="C252" s="4" t="str">
        <f>IFERROR(VLOOKUP(B252,'Code Lists'!$A:$B,2,FALSE),"")</f>
        <v/>
      </c>
      <c r="F252" s="4" t="str">
        <f>IFERROR(VLOOKUP(E252,'Code Lists'!$D:$E,2,FALSE),"")</f>
        <v/>
      </c>
      <c r="H252" s="4" t="str">
        <f>IFERROR(VLOOKUP(G252,'Code Lists'!$G:$H,2,FALSE),"")</f>
        <v/>
      </c>
      <c r="J252" s="10"/>
      <c r="M252" s="11"/>
      <c r="Q252" s="7" t="str">
        <f>IF(VedAarnaSKUMaster[[#This Row],[HSN/SAC Code]]=998822,5%,IF(VedAarnaSKUMaster[[#This Row],[HSN/SAC Code]]=998391,18%,IF(VedAarnaSKUMaster[[#This Row],[HSN/SAC Code]]=998723,5%,"")))</f>
        <v/>
      </c>
      <c r="R252" s="5" t="str">
        <f t="shared" si="37"/>
        <v/>
      </c>
      <c r="S252" s="5" t="str">
        <f t="shared" si="38"/>
        <v/>
      </c>
      <c r="T252" s="11"/>
      <c r="U252" s="8" t="str">
        <f>IF(OR(VedAarnaSKUMaster[[#This Row],[Selling Price]]="",VedAarnaSKUMaster[[#This Row],[Selling Price]]=0),"",CEILING(VedAarnaSKUMaster[[#This Row],[Selling Price]]/(1-20%),100)-1)</f>
        <v/>
      </c>
      <c r="V252">
        <f t="shared" si="48"/>
        <v>0</v>
      </c>
      <c r="W252" s="8"/>
      <c r="Z252" s="6" t="str">
        <f t="shared" si="39"/>
        <v/>
      </c>
      <c r="AA252" s="6" t="str">
        <f t="shared" si="40"/>
        <v/>
      </c>
      <c r="AB252" s="6" t="str">
        <f t="shared" si="41"/>
        <v/>
      </c>
      <c r="AC252" s="6" t="str">
        <f t="shared" si="42"/>
        <v/>
      </c>
      <c r="AD252" s="6" t="str">
        <f t="shared" si="43"/>
        <v/>
      </c>
      <c r="AE252" s="6" t="str">
        <f t="shared" si="44"/>
        <v/>
      </c>
      <c r="AF252" s="6" t="str">
        <f t="shared" si="45"/>
        <v/>
      </c>
      <c r="AG252" s="6" t="str">
        <f t="shared" si="46"/>
        <v/>
      </c>
      <c r="AH252" s="6" t="str">
        <f t="shared" si="47"/>
        <v/>
      </c>
    </row>
    <row r="253" spans="1:34">
      <c r="A253" s="9"/>
      <c r="C253" s="4" t="str">
        <f>IFERROR(VLOOKUP(B253,'Code Lists'!$A:$B,2,FALSE),"")</f>
        <v/>
      </c>
      <c r="F253" s="4" t="str">
        <f>IFERROR(VLOOKUP(E253,'Code Lists'!$D:$E,2,FALSE),"")</f>
        <v/>
      </c>
      <c r="H253" s="4" t="str">
        <f>IFERROR(VLOOKUP(G253,'Code Lists'!$G:$H,2,FALSE),"")</f>
        <v/>
      </c>
      <c r="J253" s="10"/>
      <c r="M253" s="11"/>
      <c r="Q253" s="7" t="str">
        <f>IF(VedAarnaSKUMaster[[#This Row],[HSN/SAC Code]]=998822,5%,IF(VedAarnaSKUMaster[[#This Row],[HSN/SAC Code]]=998391,18%,IF(VedAarnaSKUMaster[[#This Row],[HSN/SAC Code]]=998723,5%,"")))</f>
        <v/>
      </c>
      <c r="R253" s="5" t="str">
        <f t="shared" si="37"/>
        <v/>
      </c>
      <c r="S253" s="5" t="str">
        <f t="shared" si="38"/>
        <v/>
      </c>
      <c r="T253" s="11"/>
      <c r="U253" s="8" t="str">
        <f>IF(OR(VedAarnaSKUMaster[[#This Row],[Selling Price]]="",VedAarnaSKUMaster[[#This Row],[Selling Price]]=0),"",CEILING(VedAarnaSKUMaster[[#This Row],[Selling Price]]/(1-20%),100)-1)</f>
        <v/>
      </c>
      <c r="V253">
        <f t="shared" si="48"/>
        <v>0</v>
      </c>
      <c r="W253" s="8"/>
      <c r="Z253" s="6" t="str">
        <f t="shared" si="39"/>
        <v/>
      </c>
      <c r="AA253" s="6" t="str">
        <f t="shared" si="40"/>
        <v/>
      </c>
      <c r="AB253" s="6" t="str">
        <f t="shared" si="41"/>
        <v/>
      </c>
      <c r="AC253" s="6" t="str">
        <f t="shared" si="42"/>
        <v/>
      </c>
      <c r="AD253" s="6" t="str">
        <f t="shared" si="43"/>
        <v/>
      </c>
      <c r="AE253" s="6" t="str">
        <f t="shared" si="44"/>
        <v/>
      </c>
      <c r="AF253" s="6" t="str">
        <f t="shared" si="45"/>
        <v/>
      </c>
      <c r="AG253" s="6" t="str">
        <f t="shared" si="46"/>
        <v/>
      </c>
      <c r="AH253" s="6" t="str">
        <f t="shared" si="47"/>
        <v/>
      </c>
    </row>
    <row r="254" spans="1:34">
      <c r="A254" s="9"/>
      <c r="C254" s="4" t="str">
        <f>IFERROR(VLOOKUP(B254,'Code Lists'!$A:$B,2,FALSE),"")</f>
        <v/>
      </c>
      <c r="F254" s="4" t="str">
        <f>IFERROR(VLOOKUP(E254,'Code Lists'!$D:$E,2,FALSE),"")</f>
        <v/>
      </c>
      <c r="H254" s="4" t="str">
        <f>IFERROR(VLOOKUP(G254,'Code Lists'!$G:$H,2,FALSE),"")</f>
        <v/>
      </c>
      <c r="J254" s="10"/>
      <c r="M254" s="11"/>
      <c r="Q254" s="7" t="str">
        <f>IF(VedAarnaSKUMaster[[#This Row],[HSN/SAC Code]]=998822,5%,IF(VedAarnaSKUMaster[[#This Row],[HSN/SAC Code]]=998391,18%,IF(VedAarnaSKUMaster[[#This Row],[HSN/SAC Code]]=998723,5%,"")))</f>
        <v/>
      </c>
      <c r="R254" s="5" t="str">
        <f t="shared" si="37"/>
        <v/>
      </c>
      <c r="S254" s="5" t="str">
        <f t="shared" si="38"/>
        <v/>
      </c>
      <c r="T254" s="11"/>
      <c r="U254" s="8" t="str">
        <f>IF(OR(VedAarnaSKUMaster[[#This Row],[Selling Price]]="",VedAarnaSKUMaster[[#This Row],[Selling Price]]=0),"",CEILING(VedAarnaSKUMaster[[#This Row],[Selling Price]]/(1-20%),100)-1)</f>
        <v/>
      </c>
      <c r="V254">
        <f t="shared" si="48"/>
        <v>0</v>
      </c>
      <c r="W254" s="8"/>
      <c r="Z254" s="6" t="str">
        <f t="shared" si="39"/>
        <v/>
      </c>
      <c r="AA254" s="6" t="str">
        <f t="shared" si="40"/>
        <v/>
      </c>
      <c r="AB254" s="6" t="str">
        <f t="shared" si="41"/>
        <v/>
      </c>
      <c r="AC254" s="6" t="str">
        <f t="shared" si="42"/>
        <v/>
      </c>
      <c r="AD254" s="6" t="str">
        <f t="shared" si="43"/>
        <v/>
      </c>
      <c r="AE254" s="6" t="str">
        <f t="shared" si="44"/>
        <v/>
      </c>
      <c r="AF254" s="6" t="str">
        <f t="shared" si="45"/>
        <v/>
      </c>
      <c r="AG254" s="6" t="str">
        <f t="shared" si="46"/>
        <v/>
      </c>
      <c r="AH254" s="6" t="str">
        <f t="shared" si="47"/>
        <v/>
      </c>
    </row>
    <row r="255" spans="1:34">
      <c r="A255" s="9"/>
      <c r="C255" s="4" t="str">
        <f>IFERROR(VLOOKUP(B255,'Code Lists'!$A:$B,2,FALSE),"")</f>
        <v/>
      </c>
      <c r="F255" s="4" t="str">
        <f>IFERROR(VLOOKUP(E255,'Code Lists'!$D:$E,2,FALSE),"")</f>
        <v/>
      </c>
      <c r="H255" s="4" t="str">
        <f>IFERROR(VLOOKUP(G255,'Code Lists'!$G:$H,2,FALSE),"")</f>
        <v/>
      </c>
      <c r="J255" s="10"/>
      <c r="M255" s="11"/>
      <c r="Q255" s="7" t="str">
        <f>IF(VedAarnaSKUMaster[[#This Row],[HSN/SAC Code]]=998822,5%,IF(VedAarnaSKUMaster[[#This Row],[HSN/SAC Code]]=998391,18%,IF(VedAarnaSKUMaster[[#This Row],[HSN/SAC Code]]=998723,5%,"")))</f>
        <v/>
      </c>
      <c r="R255" s="5" t="str">
        <f t="shared" si="37"/>
        <v/>
      </c>
      <c r="S255" s="5" t="str">
        <f t="shared" si="38"/>
        <v/>
      </c>
      <c r="T255" s="11"/>
      <c r="U255" s="8" t="str">
        <f>IF(OR(VedAarnaSKUMaster[[#This Row],[Selling Price]]="",VedAarnaSKUMaster[[#This Row],[Selling Price]]=0),"",CEILING(VedAarnaSKUMaster[[#This Row],[Selling Price]]/(1-20%),100)-1)</f>
        <v/>
      </c>
      <c r="V255">
        <f t="shared" si="48"/>
        <v>0</v>
      </c>
      <c r="W255" s="8"/>
      <c r="Z255" s="6" t="str">
        <f t="shared" si="39"/>
        <v/>
      </c>
      <c r="AA255" s="6" t="str">
        <f t="shared" si="40"/>
        <v/>
      </c>
      <c r="AB255" s="6" t="str">
        <f t="shared" si="41"/>
        <v/>
      </c>
      <c r="AC255" s="6" t="str">
        <f t="shared" si="42"/>
        <v/>
      </c>
      <c r="AD255" s="6" t="str">
        <f t="shared" si="43"/>
        <v/>
      </c>
      <c r="AE255" s="6" t="str">
        <f t="shared" si="44"/>
        <v/>
      </c>
      <c r="AF255" s="6" t="str">
        <f t="shared" si="45"/>
        <v/>
      </c>
      <c r="AG255" s="6" t="str">
        <f t="shared" si="46"/>
        <v/>
      </c>
      <c r="AH255" s="6" t="str">
        <f t="shared" si="47"/>
        <v/>
      </c>
    </row>
    <row r="256" spans="1:34">
      <c r="A256" s="9"/>
      <c r="C256" s="4" t="str">
        <f>IFERROR(VLOOKUP(B256,'Code Lists'!$A:$B,2,FALSE),"")</f>
        <v/>
      </c>
      <c r="F256" s="4" t="str">
        <f>IFERROR(VLOOKUP(E256,'Code Lists'!$D:$E,2,FALSE),"")</f>
        <v/>
      </c>
      <c r="H256" s="4" t="str">
        <f>IFERROR(VLOOKUP(G256,'Code Lists'!$G:$H,2,FALSE),"")</f>
        <v/>
      </c>
      <c r="J256" s="10"/>
      <c r="M256" s="11"/>
      <c r="Q256" s="7" t="str">
        <f>IF(VedAarnaSKUMaster[[#This Row],[HSN/SAC Code]]=998822,5%,IF(VedAarnaSKUMaster[[#This Row],[HSN/SAC Code]]=998391,18%,IF(VedAarnaSKUMaster[[#This Row],[HSN/SAC Code]]=998723,5%,"")))</f>
        <v/>
      </c>
      <c r="R256" s="5" t="str">
        <f t="shared" si="37"/>
        <v/>
      </c>
      <c r="S256" s="5" t="str">
        <f t="shared" si="38"/>
        <v/>
      </c>
      <c r="T256" s="11"/>
      <c r="U256" s="8" t="str">
        <f>IF(OR(VedAarnaSKUMaster[[#This Row],[Selling Price]]="",VedAarnaSKUMaster[[#This Row],[Selling Price]]=0),"",CEILING(VedAarnaSKUMaster[[#This Row],[Selling Price]]/(1-20%),100)-1)</f>
        <v/>
      </c>
      <c r="V256">
        <f t="shared" si="48"/>
        <v>0</v>
      </c>
      <c r="W256" s="8"/>
      <c r="Z256" s="6" t="str">
        <f t="shared" si="39"/>
        <v/>
      </c>
      <c r="AA256" s="6" t="str">
        <f t="shared" si="40"/>
        <v/>
      </c>
      <c r="AB256" s="6" t="str">
        <f t="shared" si="41"/>
        <v/>
      </c>
      <c r="AC256" s="6" t="str">
        <f t="shared" si="42"/>
        <v/>
      </c>
      <c r="AD256" s="6" t="str">
        <f t="shared" si="43"/>
        <v/>
      </c>
      <c r="AE256" s="6" t="str">
        <f t="shared" si="44"/>
        <v/>
      </c>
      <c r="AF256" s="6" t="str">
        <f t="shared" si="45"/>
        <v/>
      </c>
      <c r="AG256" s="6" t="str">
        <f t="shared" si="46"/>
        <v/>
      </c>
      <c r="AH256" s="6" t="str">
        <f t="shared" si="47"/>
        <v/>
      </c>
    </row>
    <row r="257" spans="1:34">
      <c r="A257" s="9"/>
      <c r="C257" s="4" t="str">
        <f>IFERROR(VLOOKUP(B257,'Code Lists'!$A:$B,2,FALSE),"")</f>
        <v/>
      </c>
      <c r="F257" s="4" t="str">
        <f>IFERROR(VLOOKUP(E257,'Code Lists'!$D:$E,2,FALSE),"")</f>
        <v/>
      </c>
      <c r="H257" s="4" t="str">
        <f>IFERROR(VLOOKUP(G257,'Code Lists'!$G:$H,2,FALSE),"")</f>
        <v/>
      </c>
      <c r="J257" s="10"/>
      <c r="M257" s="11"/>
      <c r="Q257" s="7" t="str">
        <f>IF(VedAarnaSKUMaster[[#This Row],[HSN/SAC Code]]=998822,5%,IF(VedAarnaSKUMaster[[#This Row],[HSN/SAC Code]]=998391,18%,IF(VedAarnaSKUMaster[[#This Row],[HSN/SAC Code]]=998723,5%,"")))</f>
        <v/>
      </c>
      <c r="R257" s="5" t="str">
        <f t="shared" ref="R257:R320" si="49">IF(OR(A257="",C257="",H257="",J257=""),"","VS-"&amp;C257&amp;IF(D257&lt;&gt;"","-"&amp;D257,"")&amp;"-"&amp;TEXT(A257,"0000")&amp;"-"&amp;H257&amp;"-"&amp;RIGHT(TEXT(J257,"0000"),2))</f>
        <v/>
      </c>
      <c r="S257" s="5" t="str">
        <f t="shared" ref="S257:S320" si="50">IF(OR(A257="",C257="",F257="",H257="",I257="",J257=""),"","VS-"&amp;C257&amp;IF(D257&lt;&gt;"","-"&amp;D257,"")&amp;"-"&amp;TEXT(A257,"0000")&amp;"-"&amp;F257&amp;"-"&amp;H257&amp;"-"&amp;I257&amp;"-"&amp;RIGHT(TEXT(J257,"0000"),2))</f>
        <v/>
      </c>
      <c r="T257" s="11"/>
      <c r="U257" s="8" t="str">
        <f>IF(OR(VedAarnaSKUMaster[[#This Row],[Selling Price]]="",VedAarnaSKUMaster[[#This Row],[Selling Price]]=0),"",CEILING(VedAarnaSKUMaster[[#This Row],[Selling Price]]/(1-20%),100)-1)</f>
        <v/>
      </c>
      <c r="V257">
        <f t="shared" si="48"/>
        <v>0</v>
      </c>
      <c r="W257" s="8"/>
      <c r="Z257" s="6" t="str">
        <f t="shared" si="39"/>
        <v/>
      </c>
      <c r="AA257" s="6" t="str">
        <f t="shared" si="40"/>
        <v/>
      </c>
      <c r="AB257" s="6" t="str">
        <f t="shared" si="41"/>
        <v/>
      </c>
      <c r="AC257" s="6" t="str">
        <f t="shared" si="42"/>
        <v/>
      </c>
      <c r="AD257" s="6" t="str">
        <f t="shared" si="43"/>
        <v/>
      </c>
      <c r="AE257" s="6" t="str">
        <f t="shared" si="44"/>
        <v/>
      </c>
      <c r="AF257" s="6" t="str">
        <f t="shared" si="45"/>
        <v/>
      </c>
      <c r="AG257" s="6" t="str">
        <f t="shared" si="46"/>
        <v/>
      </c>
      <c r="AH257" s="6" t="str">
        <f t="shared" si="47"/>
        <v/>
      </c>
    </row>
    <row r="258" spans="1:34">
      <c r="A258" s="9"/>
      <c r="C258" s="4" t="str">
        <f>IFERROR(VLOOKUP(B258,'Code Lists'!$A:$B,2,FALSE),"")</f>
        <v/>
      </c>
      <c r="F258" s="4" t="str">
        <f>IFERROR(VLOOKUP(E258,'Code Lists'!$D:$E,2,FALSE),"")</f>
        <v/>
      </c>
      <c r="H258" s="4" t="str">
        <f>IFERROR(VLOOKUP(G258,'Code Lists'!$G:$H,2,FALSE),"")</f>
        <v/>
      </c>
      <c r="J258" s="10"/>
      <c r="M258" s="11"/>
      <c r="Q258" s="7" t="str">
        <f>IF(VedAarnaSKUMaster[[#This Row],[HSN/SAC Code]]=998822,5%,IF(VedAarnaSKUMaster[[#This Row],[HSN/SAC Code]]=998391,18%,IF(VedAarnaSKUMaster[[#This Row],[HSN/SAC Code]]=998723,5%,"")))</f>
        <v/>
      </c>
      <c r="R258" s="5" t="str">
        <f t="shared" si="49"/>
        <v/>
      </c>
      <c r="S258" s="5" t="str">
        <f t="shared" si="50"/>
        <v/>
      </c>
      <c r="T258" s="11"/>
      <c r="U258" s="8" t="str">
        <f>IF(OR(VedAarnaSKUMaster[[#This Row],[Selling Price]]="",VedAarnaSKUMaster[[#This Row],[Selling Price]]=0),"",CEILING(VedAarnaSKUMaster[[#This Row],[Selling Price]]/(1-20%),100)-1)</f>
        <v/>
      </c>
      <c r="V258">
        <f t="shared" si="48"/>
        <v>0</v>
      </c>
      <c r="W258" s="8"/>
      <c r="Z258" s="6" t="str">
        <f t="shared" ref="Z258:Z321" si="51">IF($R258="","",$R258&amp;"-01-FR.png")</f>
        <v/>
      </c>
      <c r="AA258" s="6" t="str">
        <f t="shared" ref="AA258:AA321" si="52">IF($R258="","",$R258&amp;"-02-SD.png")</f>
        <v/>
      </c>
      <c r="AB258" s="6" t="str">
        <f t="shared" ref="AB258:AB321" si="53">IF($R258="","",$R258&amp;"-03-BK.png")</f>
        <v/>
      </c>
      <c r="AC258" s="6" t="str">
        <f t="shared" ref="AC258:AC321" si="54">IF($R258="","",$R258&amp;"-04-CD.png")</f>
        <v/>
      </c>
      <c r="AD258" s="6" t="str">
        <f t="shared" ref="AD258:AD321" si="55">IF($R258="","",$R258&amp;"-05-WK.png")</f>
        <v/>
      </c>
      <c r="AE258" s="6" t="str">
        <f t="shared" ref="AE258:AE321" si="56">IF($R258="","",$R258&amp;"-06-ST.png")</f>
        <v/>
      </c>
      <c r="AF258" s="6" t="str">
        <f t="shared" ref="AF258:AF321" si="57">IF($R258="","",$R258&amp;"-FB.png")</f>
        <v/>
      </c>
      <c r="AG258" s="6" t="str">
        <f t="shared" ref="AG258:AG321" si="58">IF($R258="","",$R258&amp;"-DT.png")</f>
        <v/>
      </c>
      <c r="AH258" s="6" t="str">
        <f t="shared" ref="AH258:AH321" si="59">IF($R258="","",$R258&amp;"-REF-01.png")</f>
        <v/>
      </c>
    </row>
    <row r="259" spans="1:34">
      <c r="A259" s="9"/>
      <c r="C259" s="4" t="str">
        <f>IFERROR(VLOOKUP(B259,'Code Lists'!$A:$B,2,FALSE),"")</f>
        <v/>
      </c>
      <c r="F259" s="4" t="str">
        <f>IFERROR(VLOOKUP(E259,'Code Lists'!$D:$E,2,FALSE),"")</f>
        <v/>
      </c>
      <c r="H259" s="4" t="str">
        <f>IFERROR(VLOOKUP(G259,'Code Lists'!$G:$H,2,FALSE),"")</f>
        <v/>
      </c>
      <c r="J259" s="10"/>
      <c r="M259" s="11"/>
      <c r="Q259" s="7" t="str">
        <f>IF(VedAarnaSKUMaster[[#This Row],[HSN/SAC Code]]=998822,5%,IF(VedAarnaSKUMaster[[#This Row],[HSN/SAC Code]]=998391,18%,IF(VedAarnaSKUMaster[[#This Row],[HSN/SAC Code]]=998723,5%,"")))</f>
        <v/>
      </c>
      <c r="R259" s="5" t="str">
        <f t="shared" si="49"/>
        <v/>
      </c>
      <c r="S259" s="5" t="str">
        <f t="shared" si="50"/>
        <v/>
      </c>
      <c r="T259" s="11"/>
      <c r="U259" s="8" t="str">
        <f>IF(OR(VedAarnaSKUMaster[[#This Row],[Selling Price]]="",VedAarnaSKUMaster[[#This Row],[Selling Price]]=0),"",CEILING(VedAarnaSKUMaster[[#This Row],[Selling Price]]/(1-20%),100)-1)</f>
        <v/>
      </c>
      <c r="V259">
        <f t="shared" ref="V259:V322" si="60">ROUND(W259/(1-50%),-2)</f>
        <v>0</v>
      </c>
      <c r="W259" s="8"/>
      <c r="Z259" s="6" t="str">
        <f t="shared" si="51"/>
        <v/>
      </c>
      <c r="AA259" s="6" t="str">
        <f t="shared" si="52"/>
        <v/>
      </c>
      <c r="AB259" s="6" t="str">
        <f t="shared" si="53"/>
        <v/>
      </c>
      <c r="AC259" s="6" t="str">
        <f t="shared" si="54"/>
        <v/>
      </c>
      <c r="AD259" s="6" t="str">
        <f t="shared" si="55"/>
        <v/>
      </c>
      <c r="AE259" s="6" t="str">
        <f t="shared" si="56"/>
        <v/>
      </c>
      <c r="AF259" s="6" t="str">
        <f t="shared" si="57"/>
        <v/>
      </c>
      <c r="AG259" s="6" t="str">
        <f t="shared" si="58"/>
        <v/>
      </c>
      <c r="AH259" s="6" t="str">
        <f t="shared" si="59"/>
        <v/>
      </c>
    </row>
    <row r="260" spans="1:34">
      <c r="A260" s="9"/>
      <c r="C260" s="4" t="str">
        <f>IFERROR(VLOOKUP(B260,'Code Lists'!$A:$B,2,FALSE),"")</f>
        <v/>
      </c>
      <c r="F260" s="4" t="str">
        <f>IFERROR(VLOOKUP(E260,'Code Lists'!$D:$E,2,FALSE),"")</f>
        <v/>
      </c>
      <c r="H260" s="4" t="str">
        <f>IFERROR(VLOOKUP(G260,'Code Lists'!$G:$H,2,FALSE),"")</f>
        <v/>
      </c>
      <c r="J260" s="10"/>
      <c r="M260" s="11"/>
      <c r="Q260" s="7" t="str">
        <f>IF(VedAarnaSKUMaster[[#This Row],[HSN/SAC Code]]=998822,5%,IF(VedAarnaSKUMaster[[#This Row],[HSN/SAC Code]]=998391,18%,IF(VedAarnaSKUMaster[[#This Row],[HSN/SAC Code]]=998723,5%,"")))</f>
        <v/>
      </c>
      <c r="R260" s="5" t="str">
        <f t="shared" si="49"/>
        <v/>
      </c>
      <c r="S260" s="5" t="str">
        <f t="shared" si="50"/>
        <v/>
      </c>
      <c r="T260" s="11"/>
      <c r="U260" s="8" t="str">
        <f>IF(OR(VedAarnaSKUMaster[[#This Row],[Selling Price]]="",VedAarnaSKUMaster[[#This Row],[Selling Price]]=0),"",CEILING(VedAarnaSKUMaster[[#This Row],[Selling Price]]/(1-20%),100)-1)</f>
        <v/>
      </c>
      <c r="V260">
        <f t="shared" si="60"/>
        <v>0</v>
      </c>
      <c r="W260" s="8"/>
      <c r="Z260" s="6" t="str">
        <f t="shared" si="51"/>
        <v/>
      </c>
      <c r="AA260" s="6" t="str">
        <f t="shared" si="52"/>
        <v/>
      </c>
      <c r="AB260" s="6" t="str">
        <f t="shared" si="53"/>
        <v/>
      </c>
      <c r="AC260" s="6" t="str">
        <f t="shared" si="54"/>
        <v/>
      </c>
      <c r="AD260" s="6" t="str">
        <f t="shared" si="55"/>
        <v/>
      </c>
      <c r="AE260" s="6" t="str">
        <f t="shared" si="56"/>
        <v/>
      </c>
      <c r="AF260" s="6" t="str">
        <f t="shared" si="57"/>
        <v/>
      </c>
      <c r="AG260" s="6" t="str">
        <f t="shared" si="58"/>
        <v/>
      </c>
      <c r="AH260" s="6" t="str">
        <f t="shared" si="59"/>
        <v/>
      </c>
    </row>
    <row r="261" spans="1:34">
      <c r="A261" s="9"/>
      <c r="C261" s="4" t="str">
        <f>IFERROR(VLOOKUP(B261,'Code Lists'!$A:$B,2,FALSE),"")</f>
        <v/>
      </c>
      <c r="F261" s="4" t="str">
        <f>IFERROR(VLOOKUP(E261,'Code Lists'!$D:$E,2,FALSE),"")</f>
        <v/>
      </c>
      <c r="H261" s="4" t="str">
        <f>IFERROR(VLOOKUP(G261,'Code Lists'!$G:$H,2,FALSE),"")</f>
        <v/>
      </c>
      <c r="J261" s="10"/>
      <c r="M261" s="11"/>
      <c r="Q261" s="7" t="str">
        <f>IF(VedAarnaSKUMaster[[#This Row],[HSN/SAC Code]]=998822,5%,IF(VedAarnaSKUMaster[[#This Row],[HSN/SAC Code]]=998391,18%,IF(VedAarnaSKUMaster[[#This Row],[HSN/SAC Code]]=998723,5%,"")))</f>
        <v/>
      </c>
      <c r="R261" s="5" t="str">
        <f t="shared" si="49"/>
        <v/>
      </c>
      <c r="S261" s="5" t="str">
        <f t="shared" si="50"/>
        <v/>
      </c>
      <c r="T261" s="11"/>
      <c r="U261" s="8" t="str">
        <f>IF(OR(VedAarnaSKUMaster[[#This Row],[Selling Price]]="",VedAarnaSKUMaster[[#This Row],[Selling Price]]=0),"",CEILING(VedAarnaSKUMaster[[#This Row],[Selling Price]]/(1-20%),100)-1)</f>
        <v/>
      </c>
      <c r="V261">
        <f t="shared" si="60"/>
        <v>0</v>
      </c>
      <c r="W261" s="8"/>
      <c r="Z261" s="6" t="str">
        <f t="shared" si="51"/>
        <v/>
      </c>
      <c r="AA261" s="6" t="str">
        <f t="shared" si="52"/>
        <v/>
      </c>
      <c r="AB261" s="6" t="str">
        <f t="shared" si="53"/>
        <v/>
      </c>
      <c r="AC261" s="6" t="str">
        <f t="shared" si="54"/>
        <v/>
      </c>
      <c r="AD261" s="6" t="str">
        <f t="shared" si="55"/>
        <v/>
      </c>
      <c r="AE261" s="6" t="str">
        <f t="shared" si="56"/>
        <v/>
      </c>
      <c r="AF261" s="6" t="str">
        <f t="shared" si="57"/>
        <v/>
      </c>
      <c r="AG261" s="6" t="str">
        <f t="shared" si="58"/>
        <v/>
      </c>
      <c r="AH261" s="6" t="str">
        <f t="shared" si="59"/>
        <v/>
      </c>
    </row>
    <row r="262" spans="1:34">
      <c r="A262" s="9"/>
      <c r="C262" s="4" t="str">
        <f>IFERROR(VLOOKUP(B262,'Code Lists'!$A:$B,2,FALSE),"")</f>
        <v/>
      </c>
      <c r="F262" s="4" t="str">
        <f>IFERROR(VLOOKUP(E262,'Code Lists'!$D:$E,2,FALSE),"")</f>
        <v/>
      </c>
      <c r="H262" s="4" t="str">
        <f>IFERROR(VLOOKUP(G262,'Code Lists'!$G:$H,2,FALSE),"")</f>
        <v/>
      </c>
      <c r="J262" s="10"/>
      <c r="M262" s="11"/>
      <c r="Q262" s="7" t="str">
        <f>IF(VedAarnaSKUMaster[[#This Row],[HSN/SAC Code]]=998822,5%,IF(VedAarnaSKUMaster[[#This Row],[HSN/SAC Code]]=998391,18%,IF(VedAarnaSKUMaster[[#This Row],[HSN/SAC Code]]=998723,5%,"")))</f>
        <v/>
      </c>
      <c r="R262" s="5" t="str">
        <f t="shared" si="49"/>
        <v/>
      </c>
      <c r="S262" s="5" t="str">
        <f t="shared" si="50"/>
        <v/>
      </c>
      <c r="T262" s="11"/>
      <c r="U262" s="8" t="str">
        <f>IF(OR(VedAarnaSKUMaster[[#This Row],[Selling Price]]="",VedAarnaSKUMaster[[#This Row],[Selling Price]]=0),"",CEILING(VedAarnaSKUMaster[[#This Row],[Selling Price]]/(1-20%),100)-1)</f>
        <v/>
      </c>
      <c r="V262">
        <f t="shared" si="60"/>
        <v>0</v>
      </c>
      <c r="W262" s="8"/>
      <c r="Z262" s="6" t="str">
        <f t="shared" si="51"/>
        <v/>
      </c>
      <c r="AA262" s="6" t="str">
        <f t="shared" si="52"/>
        <v/>
      </c>
      <c r="AB262" s="6" t="str">
        <f t="shared" si="53"/>
        <v/>
      </c>
      <c r="AC262" s="6" t="str">
        <f t="shared" si="54"/>
        <v/>
      </c>
      <c r="AD262" s="6" t="str">
        <f t="shared" si="55"/>
        <v/>
      </c>
      <c r="AE262" s="6" t="str">
        <f t="shared" si="56"/>
        <v/>
      </c>
      <c r="AF262" s="6" t="str">
        <f t="shared" si="57"/>
        <v/>
      </c>
      <c r="AG262" s="6" t="str">
        <f t="shared" si="58"/>
        <v/>
      </c>
      <c r="AH262" s="6" t="str">
        <f t="shared" si="59"/>
        <v/>
      </c>
    </row>
    <row r="263" spans="1:34">
      <c r="A263" s="9"/>
      <c r="C263" s="4" t="str">
        <f>IFERROR(VLOOKUP(B263,'Code Lists'!$A:$B,2,FALSE),"")</f>
        <v/>
      </c>
      <c r="F263" s="4" t="str">
        <f>IFERROR(VLOOKUP(E263,'Code Lists'!$D:$E,2,FALSE),"")</f>
        <v/>
      </c>
      <c r="H263" s="4" t="str">
        <f>IFERROR(VLOOKUP(G263,'Code Lists'!$G:$H,2,FALSE),"")</f>
        <v/>
      </c>
      <c r="J263" s="10"/>
      <c r="M263" s="11"/>
      <c r="Q263" s="7" t="str">
        <f>IF(VedAarnaSKUMaster[[#This Row],[HSN/SAC Code]]=998822,5%,IF(VedAarnaSKUMaster[[#This Row],[HSN/SAC Code]]=998391,18%,IF(VedAarnaSKUMaster[[#This Row],[HSN/SAC Code]]=998723,5%,"")))</f>
        <v/>
      </c>
      <c r="R263" s="5" t="str">
        <f t="shared" si="49"/>
        <v/>
      </c>
      <c r="S263" s="5" t="str">
        <f t="shared" si="50"/>
        <v/>
      </c>
      <c r="T263" s="11"/>
      <c r="U263" s="8" t="str">
        <f>IF(OR(VedAarnaSKUMaster[[#This Row],[Selling Price]]="",VedAarnaSKUMaster[[#This Row],[Selling Price]]=0),"",CEILING(VedAarnaSKUMaster[[#This Row],[Selling Price]]/(1-20%),100)-1)</f>
        <v/>
      </c>
      <c r="V263">
        <f t="shared" si="60"/>
        <v>0</v>
      </c>
      <c r="W263" s="8"/>
      <c r="Z263" s="6" t="str">
        <f t="shared" si="51"/>
        <v/>
      </c>
      <c r="AA263" s="6" t="str">
        <f t="shared" si="52"/>
        <v/>
      </c>
      <c r="AB263" s="6" t="str">
        <f t="shared" si="53"/>
        <v/>
      </c>
      <c r="AC263" s="6" t="str">
        <f t="shared" si="54"/>
        <v/>
      </c>
      <c r="AD263" s="6" t="str">
        <f t="shared" si="55"/>
        <v/>
      </c>
      <c r="AE263" s="6" t="str">
        <f t="shared" si="56"/>
        <v/>
      </c>
      <c r="AF263" s="6" t="str">
        <f t="shared" si="57"/>
        <v/>
      </c>
      <c r="AG263" s="6" t="str">
        <f t="shared" si="58"/>
        <v/>
      </c>
      <c r="AH263" s="6" t="str">
        <f t="shared" si="59"/>
        <v/>
      </c>
    </row>
    <row r="264" spans="1:34">
      <c r="A264" s="9"/>
      <c r="C264" s="4" t="str">
        <f>IFERROR(VLOOKUP(B264,'Code Lists'!$A:$B,2,FALSE),"")</f>
        <v/>
      </c>
      <c r="F264" s="4" t="str">
        <f>IFERROR(VLOOKUP(E264,'Code Lists'!$D:$E,2,FALSE),"")</f>
        <v/>
      </c>
      <c r="H264" s="4" t="str">
        <f>IFERROR(VLOOKUP(G264,'Code Lists'!$G:$H,2,FALSE),"")</f>
        <v/>
      </c>
      <c r="J264" s="10"/>
      <c r="M264" s="11"/>
      <c r="Q264" s="7" t="str">
        <f>IF(VedAarnaSKUMaster[[#This Row],[HSN/SAC Code]]=998822,5%,IF(VedAarnaSKUMaster[[#This Row],[HSN/SAC Code]]=998391,18%,IF(VedAarnaSKUMaster[[#This Row],[HSN/SAC Code]]=998723,5%,"")))</f>
        <v/>
      </c>
      <c r="R264" s="5" t="str">
        <f t="shared" si="49"/>
        <v/>
      </c>
      <c r="S264" s="5" t="str">
        <f t="shared" si="50"/>
        <v/>
      </c>
      <c r="T264" s="11"/>
      <c r="U264" s="8" t="str">
        <f>IF(OR(VedAarnaSKUMaster[[#This Row],[Selling Price]]="",VedAarnaSKUMaster[[#This Row],[Selling Price]]=0),"",CEILING(VedAarnaSKUMaster[[#This Row],[Selling Price]]/(1-20%),100)-1)</f>
        <v/>
      </c>
      <c r="V264">
        <f t="shared" si="60"/>
        <v>0</v>
      </c>
      <c r="W264" s="8"/>
      <c r="Z264" s="6" t="str">
        <f t="shared" si="51"/>
        <v/>
      </c>
      <c r="AA264" s="6" t="str">
        <f t="shared" si="52"/>
        <v/>
      </c>
      <c r="AB264" s="6" t="str">
        <f t="shared" si="53"/>
        <v/>
      </c>
      <c r="AC264" s="6" t="str">
        <f t="shared" si="54"/>
        <v/>
      </c>
      <c r="AD264" s="6" t="str">
        <f t="shared" si="55"/>
        <v/>
      </c>
      <c r="AE264" s="6" t="str">
        <f t="shared" si="56"/>
        <v/>
      </c>
      <c r="AF264" s="6" t="str">
        <f t="shared" si="57"/>
        <v/>
      </c>
      <c r="AG264" s="6" t="str">
        <f t="shared" si="58"/>
        <v/>
      </c>
      <c r="AH264" s="6" t="str">
        <f t="shared" si="59"/>
        <v/>
      </c>
    </row>
    <row r="265" spans="1:34">
      <c r="A265" s="9"/>
      <c r="C265" s="4" t="str">
        <f>IFERROR(VLOOKUP(B265,'Code Lists'!$A:$B,2,FALSE),"")</f>
        <v/>
      </c>
      <c r="F265" s="4" t="str">
        <f>IFERROR(VLOOKUP(E265,'Code Lists'!$D:$E,2,FALSE),"")</f>
        <v/>
      </c>
      <c r="H265" s="4" t="str">
        <f>IFERROR(VLOOKUP(G265,'Code Lists'!$G:$H,2,FALSE),"")</f>
        <v/>
      </c>
      <c r="J265" s="10"/>
      <c r="M265" s="11"/>
      <c r="Q265" s="7" t="str">
        <f>IF(VedAarnaSKUMaster[[#This Row],[HSN/SAC Code]]=998822,5%,IF(VedAarnaSKUMaster[[#This Row],[HSN/SAC Code]]=998391,18%,IF(VedAarnaSKUMaster[[#This Row],[HSN/SAC Code]]=998723,5%,"")))</f>
        <v/>
      </c>
      <c r="R265" s="5" t="str">
        <f t="shared" si="49"/>
        <v/>
      </c>
      <c r="S265" s="5" t="str">
        <f t="shared" si="50"/>
        <v/>
      </c>
      <c r="T265" s="11"/>
      <c r="U265" s="8" t="str">
        <f>IF(OR(VedAarnaSKUMaster[[#This Row],[Selling Price]]="",VedAarnaSKUMaster[[#This Row],[Selling Price]]=0),"",CEILING(VedAarnaSKUMaster[[#This Row],[Selling Price]]/(1-20%),100)-1)</f>
        <v/>
      </c>
      <c r="V265">
        <f t="shared" si="60"/>
        <v>0</v>
      </c>
      <c r="W265" s="8"/>
      <c r="Z265" s="6" t="str">
        <f t="shared" si="51"/>
        <v/>
      </c>
      <c r="AA265" s="6" t="str">
        <f t="shared" si="52"/>
        <v/>
      </c>
      <c r="AB265" s="6" t="str">
        <f t="shared" si="53"/>
        <v/>
      </c>
      <c r="AC265" s="6" t="str">
        <f t="shared" si="54"/>
        <v/>
      </c>
      <c r="AD265" s="6" t="str">
        <f t="shared" si="55"/>
        <v/>
      </c>
      <c r="AE265" s="6" t="str">
        <f t="shared" si="56"/>
        <v/>
      </c>
      <c r="AF265" s="6" t="str">
        <f t="shared" si="57"/>
        <v/>
      </c>
      <c r="AG265" s="6" t="str">
        <f t="shared" si="58"/>
        <v/>
      </c>
      <c r="AH265" s="6" t="str">
        <f t="shared" si="59"/>
        <v/>
      </c>
    </row>
    <row r="266" spans="1:34">
      <c r="A266" s="9"/>
      <c r="C266" s="4" t="str">
        <f>IFERROR(VLOOKUP(B266,'Code Lists'!$A:$B,2,FALSE),"")</f>
        <v/>
      </c>
      <c r="F266" s="4" t="str">
        <f>IFERROR(VLOOKUP(E266,'Code Lists'!$D:$E,2,FALSE),"")</f>
        <v/>
      </c>
      <c r="H266" s="4" t="str">
        <f>IFERROR(VLOOKUP(G266,'Code Lists'!$G:$H,2,FALSE),"")</f>
        <v/>
      </c>
      <c r="J266" s="10"/>
      <c r="M266" s="11"/>
      <c r="Q266" s="7" t="str">
        <f>IF(VedAarnaSKUMaster[[#This Row],[HSN/SAC Code]]=998822,5%,IF(VedAarnaSKUMaster[[#This Row],[HSN/SAC Code]]=998391,18%,IF(VedAarnaSKUMaster[[#This Row],[HSN/SAC Code]]=998723,5%,"")))</f>
        <v/>
      </c>
      <c r="R266" s="5" t="str">
        <f t="shared" si="49"/>
        <v/>
      </c>
      <c r="S266" s="5" t="str">
        <f t="shared" si="50"/>
        <v/>
      </c>
      <c r="T266" s="11"/>
      <c r="U266" s="8" t="str">
        <f>IF(OR(VedAarnaSKUMaster[[#This Row],[Selling Price]]="",VedAarnaSKUMaster[[#This Row],[Selling Price]]=0),"",CEILING(VedAarnaSKUMaster[[#This Row],[Selling Price]]/(1-20%),100)-1)</f>
        <v/>
      </c>
      <c r="V266">
        <f t="shared" si="60"/>
        <v>0</v>
      </c>
      <c r="W266" s="8"/>
      <c r="Z266" s="6" t="str">
        <f t="shared" si="51"/>
        <v/>
      </c>
      <c r="AA266" s="6" t="str">
        <f t="shared" si="52"/>
        <v/>
      </c>
      <c r="AB266" s="6" t="str">
        <f t="shared" si="53"/>
        <v/>
      </c>
      <c r="AC266" s="6" t="str">
        <f t="shared" si="54"/>
        <v/>
      </c>
      <c r="AD266" s="6" t="str">
        <f t="shared" si="55"/>
        <v/>
      </c>
      <c r="AE266" s="6" t="str">
        <f t="shared" si="56"/>
        <v/>
      </c>
      <c r="AF266" s="6" t="str">
        <f t="shared" si="57"/>
        <v/>
      </c>
      <c r="AG266" s="6" t="str">
        <f t="shared" si="58"/>
        <v/>
      </c>
      <c r="AH266" s="6" t="str">
        <f t="shared" si="59"/>
        <v/>
      </c>
    </row>
    <row r="267" spans="1:34">
      <c r="A267" s="9"/>
      <c r="C267" s="4" t="str">
        <f>IFERROR(VLOOKUP(B267,'Code Lists'!$A:$B,2,FALSE),"")</f>
        <v/>
      </c>
      <c r="F267" s="4" t="str">
        <f>IFERROR(VLOOKUP(E267,'Code Lists'!$D:$E,2,FALSE),"")</f>
        <v/>
      </c>
      <c r="H267" s="4" t="str">
        <f>IFERROR(VLOOKUP(G267,'Code Lists'!$G:$H,2,FALSE),"")</f>
        <v/>
      </c>
      <c r="J267" s="10"/>
      <c r="M267" s="11"/>
      <c r="Q267" s="7" t="str">
        <f>IF(VedAarnaSKUMaster[[#This Row],[HSN/SAC Code]]=998822,5%,IF(VedAarnaSKUMaster[[#This Row],[HSN/SAC Code]]=998391,18%,IF(VedAarnaSKUMaster[[#This Row],[HSN/SAC Code]]=998723,5%,"")))</f>
        <v/>
      </c>
      <c r="R267" s="5" t="str">
        <f t="shared" si="49"/>
        <v/>
      </c>
      <c r="S267" s="5" t="str">
        <f t="shared" si="50"/>
        <v/>
      </c>
      <c r="T267" s="11"/>
      <c r="U267" s="8" t="str">
        <f>IF(OR(VedAarnaSKUMaster[[#This Row],[Selling Price]]="",VedAarnaSKUMaster[[#This Row],[Selling Price]]=0),"",CEILING(VedAarnaSKUMaster[[#This Row],[Selling Price]]/(1-20%),100)-1)</f>
        <v/>
      </c>
      <c r="V267">
        <f t="shared" si="60"/>
        <v>0</v>
      </c>
      <c r="W267" s="8"/>
      <c r="Z267" s="6" t="str">
        <f t="shared" si="51"/>
        <v/>
      </c>
      <c r="AA267" s="6" t="str">
        <f t="shared" si="52"/>
        <v/>
      </c>
      <c r="AB267" s="6" t="str">
        <f t="shared" si="53"/>
        <v/>
      </c>
      <c r="AC267" s="6" t="str">
        <f t="shared" si="54"/>
        <v/>
      </c>
      <c r="AD267" s="6" t="str">
        <f t="shared" si="55"/>
        <v/>
      </c>
      <c r="AE267" s="6" t="str">
        <f t="shared" si="56"/>
        <v/>
      </c>
      <c r="AF267" s="6" t="str">
        <f t="shared" si="57"/>
        <v/>
      </c>
      <c r="AG267" s="6" t="str">
        <f t="shared" si="58"/>
        <v/>
      </c>
      <c r="AH267" s="6" t="str">
        <f t="shared" si="59"/>
        <v/>
      </c>
    </row>
    <row r="268" spans="1:34">
      <c r="A268" s="9"/>
      <c r="C268" s="4" t="str">
        <f>IFERROR(VLOOKUP(B268,'Code Lists'!$A:$B,2,FALSE),"")</f>
        <v/>
      </c>
      <c r="F268" s="4" t="str">
        <f>IFERROR(VLOOKUP(E268,'Code Lists'!$D:$E,2,FALSE),"")</f>
        <v/>
      </c>
      <c r="H268" s="4" t="str">
        <f>IFERROR(VLOOKUP(G268,'Code Lists'!$G:$H,2,FALSE),"")</f>
        <v/>
      </c>
      <c r="J268" s="10"/>
      <c r="M268" s="11"/>
      <c r="Q268" s="7" t="str">
        <f>IF(VedAarnaSKUMaster[[#This Row],[HSN/SAC Code]]=998822,5%,IF(VedAarnaSKUMaster[[#This Row],[HSN/SAC Code]]=998391,18%,IF(VedAarnaSKUMaster[[#This Row],[HSN/SAC Code]]=998723,5%,"")))</f>
        <v/>
      </c>
      <c r="R268" s="5" t="str">
        <f t="shared" si="49"/>
        <v/>
      </c>
      <c r="S268" s="5" t="str">
        <f t="shared" si="50"/>
        <v/>
      </c>
      <c r="T268" s="11"/>
      <c r="U268" s="8" t="str">
        <f>IF(OR(VedAarnaSKUMaster[[#This Row],[Selling Price]]="",VedAarnaSKUMaster[[#This Row],[Selling Price]]=0),"",CEILING(VedAarnaSKUMaster[[#This Row],[Selling Price]]/(1-20%),100)-1)</f>
        <v/>
      </c>
      <c r="V268">
        <f t="shared" si="60"/>
        <v>0</v>
      </c>
      <c r="W268" s="8"/>
      <c r="Z268" s="6" t="str">
        <f t="shared" si="51"/>
        <v/>
      </c>
      <c r="AA268" s="6" t="str">
        <f t="shared" si="52"/>
        <v/>
      </c>
      <c r="AB268" s="6" t="str">
        <f t="shared" si="53"/>
        <v/>
      </c>
      <c r="AC268" s="6" t="str">
        <f t="shared" si="54"/>
        <v/>
      </c>
      <c r="AD268" s="6" t="str">
        <f t="shared" si="55"/>
        <v/>
      </c>
      <c r="AE268" s="6" t="str">
        <f t="shared" si="56"/>
        <v/>
      </c>
      <c r="AF268" s="6" t="str">
        <f t="shared" si="57"/>
        <v/>
      </c>
      <c r="AG268" s="6" t="str">
        <f t="shared" si="58"/>
        <v/>
      </c>
      <c r="AH268" s="6" t="str">
        <f t="shared" si="59"/>
        <v/>
      </c>
    </row>
    <row r="269" spans="1:34">
      <c r="A269" s="9"/>
      <c r="C269" s="4" t="str">
        <f>IFERROR(VLOOKUP(B269,'Code Lists'!$A:$B,2,FALSE),"")</f>
        <v/>
      </c>
      <c r="F269" s="4" t="str">
        <f>IFERROR(VLOOKUP(E269,'Code Lists'!$D:$E,2,FALSE),"")</f>
        <v/>
      </c>
      <c r="H269" s="4" t="str">
        <f>IFERROR(VLOOKUP(G269,'Code Lists'!$G:$H,2,FALSE),"")</f>
        <v/>
      </c>
      <c r="J269" s="10"/>
      <c r="M269" s="11"/>
      <c r="Q269" s="7" t="str">
        <f>IF(VedAarnaSKUMaster[[#This Row],[HSN/SAC Code]]=998822,5%,IF(VedAarnaSKUMaster[[#This Row],[HSN/SAC Code]]=998391,18%,IF(VedAarnaSKUMaster[[#This Row],[HSN/SAC Code]]=998723,5%,"")))</f>
        <v/>
      </c>
      <c r="R269" s="5" t="str">
        <f t="shared" si="49"/>
        <v/>
      </c>
      <c r="S269" s="5" t="str">
        <f t="shared" si="50"/>
        <v/>
      </c>
      <c r="T269" s="11"/>
      <c r="U269" s="8" t="str">
        <f>IF(OR(VedAarnaSKUMaster[[#This Row],[Selling Price]]="",VedAarnaSKUMaster[[#This Row],[Selling Price]]=0),"",CEILING(VedAarnaSKUMaster[[#This Row],[Selling Price]]/(1-20%),100)-1)</f>
        <v/>
      </c>
      <c r="V269">
        <f t="shared" si="60"/>
        <v>0</v>
      </c>
      <c r="W269" s="8"/>
      <c r="Z269" s="6" t="str">
        <f t="shared" si="51"/>
        <v/>
      </c>
      <c r="AA269" s="6" t="str">
        <f t="shared" si="52"/>
        <v/>
      </c>
      <c r="AB269" s="6" t="str">
        <f t="shared" si="53"/>
        <v/>
      </c>
      <c r="AC269" s="6" t="str">
        <f t="shared" si="54"/>
        <v/>
      </c>
      <c r="AD269" s="6" t="str">
        <f t="shared" si="55"/>
        <v/>
      </c>
      <c r="AE269" s="6" t="str">
        <f t="shared" si="56"/>
        <v/>
      </c>
      <c r="AF269" s="6" t="str">
        <f t="shared" si="57"/>
        <v/>
      </c>
      <c r="AG269" s="6" t="str">
        <f t="shared" si="58"/>
        <v/>
      </c>
      <c r="AH269" s="6" t="str">
        <f t="shared" si="59"/>
        <v/>
      </c>
    </row>
    <row r="270" spans="1:34">
      <c r="A270" s="9"/>
      <c r="C270" s="4" t="str">
        <f>IFERROR(VLOOKUP(B270,'Code Lists'!$A:$B,2,FALSE),"")</f>
        <v/>
      </c>
      <c r="F270" s="4" t="str">
        <f>IFERROR(VLOOKUP(E270,'Code Lists'!$D:$E,2,FALSE),"")</f>
        <v/>
      </c>
      <c r="H270" s="4" t="str">
        <f>IFERROR(VLOOKUP(G270,'Code Lists'!$G:$H,2,FALSE),"")</f>
        <v/>
      </c>
      <c r="J270" s="10"/>
      <c r="M270" s="11"/>
      <c r="Q270" s="7" t="str">
        <f>IF(VedAarnaSKUMaster[[#This Row],[HSN/SAC Code]]=998822,5%,IF(VedAarnaSKUMaster[[#This Row],[HSN/SAC Code]]=998391,18%,IF(VedAarnaSKUMaster[[#This Row],[HSN/SAC Code]]=998723,5%,"")))</f>
        <v/>
      </c>
      <c r="R270" s="5" t="str">
        <f t="shared" si="49"/>
        <v/>
      </c>
      <c r="S270" s="5" t="str">
        <f t="shared" si="50"/>
        <v/>
      </c>
      <c r="T270" s="11"/>
      <c r="U270" s="8" t="str">
        <f>IF(OR(VedAarnaSKUMaster[[#This Row],[Selling Price]]="",VedAarnaSKUMaster[[#This Row],[Selling Price]]=0),"",CEILING(VedAarnaSKUMaster[[#This Row],[Selling Price]]/(1-20%),100)-1)</f>
        <v/>
      </c>
      <c r="V270">
        <f t="shared" si="60"/>
        <v>0</v>
      </c>
      <c r="W270" s="8"/>
      <c r="Z270" s="6" t="str">
        <f t="shared" si="51"/>
        <v/>
      </c>
      <c r="AA270" s="6" t="str">
        <f t="shared" si="52"/>
        <v/>
      </c>
      <c r="AB270" s="6" t="str">
        <f t="shared" si="53"/>
        <v/>
      </c>
      <c r="AC270" s="6" t="str">
        <f t="shared" si="54"/>
        <v/>
      </c>
      <c r="AD270" s="6" t="str">
        <f t="shared" si="55"/>
        <v/>
      </c>
      <c r="AE270" s="6" t="str">
        <f t="shared" si="56"/>
        <v/>
      </c>
      <c r="AF270" s="6" t="str">
        <f t="shared" si="57"/>
        <v/>
      </c>
      <c r="AG270" s="6" t="str">
        <f t="shared" si="58"/>
        <v/>
      </c>
      <c r="AH270" s="6" t="str">
        <f t="shared" si="59"/>
        <v/>
      </c>
    </row>
    <row r="271" spans="1:34">
      <c r="A271" s="9"/>
      <c r="C271" s="4" t="str">
        <f>IFERROR(VLOOKUP(B271,'Code Lists'!$A:$B,2,FALSE),"")</f>
        <v/>
      </c>
      <c r="F271" s="4" t="str">
        <f>IFERROR(VLOOKUP(E271,'Code Lists'!$D:$E,2,FALSE),"")</f>
        <v/>
      </c>
      <c r="H271" s="4" t="str">
        <f>IFERROR(VLOOKUP(G271,'Code Lists'!$G:$H,2,FALSE),"")</f>
        <v/>
      </c>
      <c r="J271" s="10"/>
      <c r="M271" s="11"/>
      <c r="Q271" s="7" t="str">
        <f>IF(VedAarnaSKUMaster[[#This Row],[HSN/SAC Code]]=998822,5%,IF(VedAarnaSKUMaster[[#This Row],[HSN/SAC Code]]=998391,18%,IF(VedAarnaSKUMaster[[#This Row],[HSN/SAC Code]]=998723,5%,"")))</f>
        <v/>
      </c>
      <c r="R271" s="5" t="str">
        <f t="shared" si="49"/>
        <v/>
      </c>
      <c r="S271" s="5" t="str">
        <f t="shared" si="50"/>
        <v/>
      </c>
      <c r="T271" s="11"/>
      <c r="U271" s="8" t="str">
        <f>IF(OR(VedAarnaSKUMaster[[#This Row],[Selling Price]]="",VedAarnaSKUMaster[[#This Row],[Selling Price]]=0),"",CEILING(VedAarnaSKUMaster[[#This Row],[Selling Price]]/(1-20%),100)-1)</f>
        <v/>
      </c>
      <c r="V271">
        <f t="shared" si="60"/>
        <v>0</v>
      </c>
      <c r="W271" s="8"/>
      <c r="Z271" s="6" t="str">
        <f t="shared" si="51"/>
        <v/>
      </c>
      <c r="AA271" s="6" t="str">
        <f t="shared" si="52"/>
        <v/>
      </c>
      <c r="AB271" s="6" t="str">
        <f t="shared" si="53"/>
        <v/>
      </c>
      <c r="AC271" s="6" t="str">
        <f t="shared" si="54"/>
        <v/>
      </c>
      <c r="AD271" s="6" t="str">
        <f t="shared" si="55"/>
        <v/>
      </c>
      <c r="AE271" s="6" t="str">
        <f t="shared" si="56"/>
        <v/>
      </c>
      <c r="AF271" s="6" t="str">
        <f t="shared" si="57"/>
        <v/>
      </c>
      <c r="AG271" s="6" t="str">
        <f t="shared" si="58"/>
        <v/>
      </c>
      <c r="AH271" s="6" t="str">
        <f t="shared" si="59"/>
        <v/>
      </c>
    </row>
    <row r="272" spans="1:34">
      <c r="A272" s="9"/>
      <c r="C272" s="4" t="str">
        <f>IFERROR(VLOOKUP(B272,'Code Lists'!$A:$B,2,FALSE),"")</f>
        <v/>
      </c>
      <c r="F272" s="4" t="str">
        <f>IFERROR(VLOOKUP(E272,'Code Lists'!$D:$E,2,FALSE),"")</f>
        <v/>
      </c>
      <c r="H272" s="4" t="str">
        <f>IFERROR(VLOOKUP(G272,'Code Lists'!$G:$H,2,FALSE),"")</f>
        <v/>
      </c>
      <c r="J272" s="10"/>
      <c r="M272" s="11"/>
      <c r="Q272" s="7" t="str">
        <f>IF(VedAarnaSKUMaster[[#This Row],[HSN/SAC Code]]=998822,5%,IF(VedAarnaSKUMaster[[#This Row],[HSN/SAC Code]]=998391,18%,IF(VedAarnaSKUMaster[[#This Row],[HSN/SAC Code]]=998723,5%,"")))</f>
        <v/>
      </c>
      <c r="R272" s="5" t="str">
        <f t="shared" si="49"/>
        <v/>
      </c>
      <c r="S272" s="5" t="str">
        <f t="shared" si="50"/>
        <v/>
      </c>
      <c r="T272" s="11"/>
      <c r="U272" s="8" t="str">
        <f>IF(OR(VedAarnaSKUMaster[[#This Row],[Selling Price]]="",VedAarnaSKUMaster[[#This Row],[Selling Price]]=0),"",CEILING(VedAarnaSKUMaster[[#This Row],[Selling Price]]/(1-20%),100)-1)</f>
        <v/>
      </c>
      <c r="V272">
        <f t="shared" si="60"/>
        <v>0</v>
      </c>
      <c r="W272" s="8"/>
      <c r="Z272" s="6" t="str">
        <f t="shared" si="51"/>
        <v/>
      </c>
      <c r="AA272" s="6" t="str">
        <f t="shared" si="52"/>
        <v/>
      </c>
      <c r="AB272" s="6" t="str">
        <f t="shared" si="53"/>
        <v/>
      </c>
      <c r="AC272" s="6" t="str">
        <f t="shared" si="54"/>
        <v/>
      </c>
      <c r="AD272" s="6" t="str">
        <f t="shared" si="55"/>
        <v/>
      </c>
      <c r="AE272" s="6" t="str">
        <f t="shared" si="56"/>
        <v/>
      </c>
      <c r="AF272" s="6" t="str">
        <f t="shared" si="57"/>
        <v/>
      </c>
      <c r="AG272" s="6" t="str">
        <f t="shared" si="58"/>
        <v/>
      </c>
      <c r="AH272" s="6" t="str">
        <f t="shared" si="59"/>
        <v/>
      </c>
    </row>
    <row r="273" spans="1:34">
      <c r="A273" s="9"/>
      <c r="C273" s="4" t="str">
        <f>IFERROR(VLOOKUP(B273,'Code Lists'!$A:$B,2,FALSE),"")</f>
        <v/>
      </c>
      <c r="F273" s="4" t="str">
        <f>IFERROR(VLOOKUP(E273,'Code Lists'!$D:$E,2,FALSE),"")</f>
        <v/>
      </c>
      <c r="H273" s="4" t="str">
        <f>IFERROR(VLOOKUP(G273,'Code Lists'!$G:$H,2,FALSE),"")</f>
        <v/>
      </c>
      <c r="J273" s="10"/>
      <c r="M273" s="11"/>
      <c r="Q273" s="7" t="str">
        <f>IF(VedAarnaSKUMaster[[#This Row],[HSN/SAC Code]]=998822,5%,IF(VedAarnaSKUMaster[[#This Row],[HSN/SAC Code]]=998391,18%,IF(VedAarnaSKUMaster[[#This Row],[HSN/SAC Code]]=998723,5%,"")))</f>
        <v/>
      </c>
      <c r="R273" s="5" t="str">
        <f t="shared" si="49"/>
        <v/>
      </c>
      <c r="S273" s="5" t="str">
        <f t="shared" si="50"/>
        <v/>
      </c>
      <c r="T273" s="11"/>
      <c r="U273" s="8" t="str">
        <f>IF(OR(VedAarnaSKUMaster[[#This Row],[Selling Price]]="",VedAarnaSKUMaster[[#This Row],[Selling Price]]=0),"",CEILING(VedAarnaSKUMaster[[#This Row],[Selling Price]]/(1-20%),100)-1)</f>
        <v/>
      </c>
      <c r="V273">
        <f t="shared" si="60"/>
        <v>0</v>
      </c>
      <c r="W273" s="8"/>
      <c r="Z273" s="6" t="str">
        <f t="shared" si="51"/>
        <v/>
      </c>
      <c r="AA273" s="6" t="str">
        <f t="shared" si="52"/>
        <v/>
      </c>
      <c r="AB273" s="6" t="str">
        <f t="shared" si="53"/>
        <v/>
      </c>
      <c r="AC273" s="6" t="str">
        <f t="shared" si="54"/>
        <v/>
      </c>
      <c r="AD273" s="6" t="str">
        <f t="shared" si="55"/>
        <v/>
      </c>
      <c r="AE273" s="6" t="str">
        <f t="shared" si="56"/>
        <v/>
      </c>
      <c r="AF273" s="6" t="str">
        <f t="shared" si="57"/>
        <v/>
      </c>
      <c r="AG273" s="6" t="str">
        <f t="shared" si="58"/>
        <v/>
      </c>
      <c r="AH273" s="6" t="str">
        <f t="shared" si="59"/>
        <v/>
      </c>
    </row>
    <row r="274" spans="1:34">
      <c r="A274" s="9"/>
      <c r="C274" s="4" t="str">
        <f>IFERROR(VLOOKUP(B274,'Code Lists'!$A:$B,2,FALSE),"")</f>
        <v/>
      </c>
      <c r="F274" s="4" t="str">
        <f>IFERROR(VLOOKUP(E274,'Code Lists'!$D:$E,2,FALSE),"")</f>
        <v/>
      </c>
      <c r="H274" s="4" t="str">
        <f>IFERROR(VLOOKUP(G274,'Code Lists'!$G:$H,2,FALSE),"")</f>
        <v/>
      </c>
      <c r="J274" s="10"/>
      <c r="M274" s="11"/>
      <c r="Q274" s="7" t="str">
        <f>IF(VedAarnaSKUMaster[[#This Row],[HSN/SAC Code]]=998822,5%,IF(VedAarnaSKUMaster[[#This Row],[HSN/SAC Code]]=998391,18%,IF(VedAarnaSKUMaster[[#This Row],[HSN/SAC Code]]=998723,5%,"")))</f>
        <v/>
      </c>
      <c r="R274" s="5" t="str">
        <f t="shared" si="49"/>
        <v/>
      </c>
      <c r="S274" s="5" t="str">
        <f t="shared" si="50"/>
        <v/>
      </c>
      <c r="T274" s="11"/>
      <c r="U274" s="8" t="str">
        <f>IF(OR(VedAarnaSKUMaster[[#This Row],[Selling Price]]="",VedAarnaSKUMaster[[#This Row],[Selling Price]]=0),"",CEILING(VedAarnaSKUMaster[[#This Row],[Selling Price]]/(1-20%),100)-1)</f>
        <v/>
      </c>
      <c r="V274">
        <f t="shared" si="60"/>
        <v>0</v>
      </c>
      <c r="W274" s="8"/>
      <c r="Z274" s="6" t="str">
        <f t="shared" si="51"/>
        <v/>
      </c>
      <c r="AA274" s="6" t="str">
        <f t="shared" si="52"/>
        <v/>
      </c>
      <c r="AB274" s="6" t="str">
        <f t="shared" si="53"/>
        <v/>
      </c>
      <c r="AC274" s="6" t="str">
        <f t="shared" si="54"/>
        <v/>
      </c>
      <c r="AD274" s="6" t="str">
        <f t="shared" si="55"/>
        <v/>
      </c>
      <c r="AE274" s="6" t="str">
        <f t="shared" si="56"/>
        <v/>
      </c>
      <c r="AF274" s="6" t="str">
        <f t="shared" si="57"/>
        <v/>
      </c>
      <c r="AG274" s="6" t="str">
        <f t="shared" si="58"/>
        <v/>
      </c>
      <c r="AH274" s="6" t="str">
        <f t="shared" si="59"/>
        <v/>
      </c>
    </row>
    <row r="275" spans="1:34">
      <c r="A275" s="9"/>
      <c r="C275" s="4" t="str">
        <f>IFERROR(VLOOKUP(B275,'Code Lists'!$A:$B,2,FALSE),"")</f>
        <v/>
      </c>
      <c r="F275" s="4" t="str">
        <f>IFERROR(VLOOKUP(E275,'Code Lists'!$D:$E,2,FALSE),"")</f>
        <v/>
      </c>
      <c r="H275" s="4" t="str">
        <f>IFERROR(VLOOKUP(G275,'Code Lists'!$G:$H,2,FALSE),"")</f>
        <v/>
      </c>
      <c r="J275" s="10"/>
      <c r="M275" s="11"/>
      <c r="Q275" s="7" t="str">
        <f>IF(VedAarnaSKUMaster[[#This Row],[HSN/SAC Code]]=998822,5%,IF(VedAarnaSKUMaster[[#This Row],[HSN/SAC Code]]=998391,18%,IF(VedAarnaSKUMaster[[#This Row],[HSN/SAC Code]]=998723,5%,"")))</f>
        <v/>
      </c>
      <c r="R275" s="5" t="str">
        <f t="shared" si="49"/>
        <v/>
      </c>
      <c r="S275" s="5" t="str">
        <f t="shared" si="50"/>
        <v/>
      </c>
      <c r="T275" s="11"/>
      <c r="U275" s="8" t="str">
        <f>IF(OR(VedAarnaSKUMaster[[#This Row],[Selling Price]]="",VedAarnaSKUMaster[[#This Row],[Selling Price]]=0),"",CEILING(VedAarnaSKUMaster[[#This Row],[Selling Price]]/(1-20%),100)-1)</f>
        <v/>
      </c>
      <c r="V275">
        <f t="shared" si="60"/>
        <v>0</v>
      </c>
      <c r="W275" s="8"/>
      <c r="Z275" s="6" t="str">
        <f t="shared" si="51"/>
        <v/>
      </c>
      <c r="AA275" s="6" t="str">
        <f t="shared" si="52"/>
        <v/>
      </c>
      <c r="AB275" s="6" t="str">
        <f t="shared" si="53"/>
        <v/>
      </c>
      <c r="AC275" s="6" t="str">
        <f t="shared" si="54"/>
        <v/>
      </c>
      <c r="AD275" s="6" t="str">
        <f t="shared" si="55"/>
        <v/>
      </c>
      <c r="AE275" s="6" t="str">
        <f t="shared" si="56"/>
        <v/>
      </c>
      <c r="AF275" s="6" t="str">
        <f t="shared" si="57"/>
        <v/>
      </c>
      <c r="AG275" s="6" t="str">
        <f t="shared" si="58"/>
        <v/>
      </c>
      <c r="AH275" s="6" t="str">
        <f t="shared" si="59"/>
        <v/>
      </c>
    </row>
    <row r="276" spans="1:34">
      <c r="A276" s="9"/>
      <c r="C276" s="4" t="str">
        <f>IFERROR(VLOOKUP(B276,'Code Lists'!$A:$B,2,FALSE),"")</f>
        <v/>
      </c>
      <c r="F276" s="4" t="str">
        <f>IFERROR(VLOOKUP(E276,'Code Lists'!$D:$E,2,FALSE),"")</f>
        <v/>
      </c>
      <c r="H276" s="4" t="str">
        <f>IFERROR(VLOOKUP(G276,'Code Lists'!$G:$H,2,FALSE),"")</f>
        <v/>
      </c>
      <c r="J276" s="10"/>
      <c r="M276" s="11"/>
      <c r="Q276" s="7" t="str">
        <f>IF(VedAarnaSKUMaster[[#This Row],[HSN/SAC Code]]=998822,5%,IF(VedAarnaSKUMaster[[#This Row],[HSN/SAC Code]]=998391,18%,IF(VedAarnaSKUMaster[[#This Row],[HSN/SAC Code]]=998723,5%,"")))</f>
        <v/>
      </c>
      <c r="R276" s="5" t="str">
        <f t="shared" si="49"/>
        <v/>
      </c>
      <c r="S276" s="5" t="str">
        <f t="shared" si="50"/>
        <v/>
      </c>
      <c r="T276" s="11"/>
      <c r="U276" s="8" t="str">
        <f>IF(OR(VedAarnaSKUMaster[[#This Row],[Selling Price]]="",VedAarnaSKUMaster[[#This Row],[Selling Price]]=0),"",CEILING(VedAarnaSKUMaster[[#This Row],[Selling Price]]/(1-20%),100)-1)</f>
        <v/>
      </c>
      <c r="V276">
        <f t="shared" si="60"/>
        <v>0</v>
      </c>
      <c r="W276" s="8"/>
      <c r="Z276" s="6" t="str">
        <f t="shared" si="51"/>
        <v/>
      </c>
      <c r="AA276" s="6" t="str">
        <f t="shared" si="52"/>
        <v/>
      </c>
      <c r="AB276" s="6" t="str">
        <f t="shared" si="53"/>
        <v/>
      </c>
      <c r="AC276" s="6" t="str">
        <f t="shared" si="54"/>
        <v/>
      </c>
      <c r="AD276" s="6" t="str">
        <f t="shared" si="55"/>
        <v/>
      </c>
      <c r="AE276" s="6" t="str">
        <f t="shared" si="56"/>
        <v/>
      </c>
      <c r="AF276" s="6" t="str">
        <f t="shared" si="57"/>
        <v/>
      </c>
      <c r="AG276" s="6" t="str">
        <f t="shared" si="58"/>
        <v/>
      </c>
      <c r="AH276" s="6" t="str">
        <f t="shared" si="59"/>
        <v/>
      </c>
    </row>
    <row r="277" spans="1:34">
      <c r="A277" s="9"/>
      <c r="C277" s="4" t="str">
        <f>IFERROR(VLOOKUP(B277,'Code Lists'!$A:$B,2,FALSE),"")</f>
        <v/>
      </c>
      <c r="F277" s="4" t="str">
        <f>IFERROR(VLOOKUP(E277,'Code Lists'!$D:$E,2,FALSE),"")</f>
        <v/>
      </c>
      <c r="H277" s="4" t="str">
        <f>IFERROR(VLOOKUP(G277,'Code Lists'!$G:$H,2,FALSE),"")</f>
        <v/>
      </c>
      <c r="J277" s="10"/>
      <c r="M277" s="11"/>
      <c r="Q277" s="7" t="str">
        <f>IF(VedAarnaSKUMaster[[#This Row],[HSN/SAC Code]]=998822,5%,IF(VedAarnaSKUMaster[[#This Row],[HSN/SAC Code]]=998391,18%,IF(VedAarnaSKUMaster[[#This Row],[HSN/SAC Code]]=998723,5%,"")))</f>
        <v/>
      </c>
      <c r="R277" s="5" t="str">
        <f t="shared" si="49"/>
        <v/>
      </c>
      <c r="S277" s="5" t="str">
        <f t="shared" si="50"/>
        <v/>
      </c>
      <c r="T277" s="11"/>
      <c r="U277" s="8" t="str">
        <f>IF(OR(VedAarnaSKUMaster[[#This Row],[Selling Price]]="",VedAarnaSKUMaster[[#This Row],[Selling Price]]=0),"",CEILING(VedAarnaSKUMaster[[#This Row],[Selling Price]]/(1-20%),100)-1)</f>
        <v/>
      </c>
      <c r="V277">
        <f t="shared" si="60"/>
        <v>0</v>
      </c>
      <c r="W277" s="8"/>
      <c r="Z277" s="6" t="str">
        <f t="shared" si="51"/>
        <v/>
      </c>
      <c r="AA277" s="6" t="str">
        <f t="shared" si="52"/>
        <v/>
      </c>
      <c r="AB277" s="6" t="str">
        <f t="shared" si="53"/>
        <v/>
      </c>
      <c r="AC277" s="6" t="str">
        <f t="shared" si="54"/>
        <v/>
      </c>
      <c r="AD277" s="6" t="str">
        <f t="shared" si="55"/>
        <v/>
      </c>
      <c r="AE277" s="6" t="str">
        <f t="shared" si="56"/>
        <v/>
      </c>
      <c r="AF277" s="6" t="str">
        <f t="shared" si="57"/>
        <v/>
      </c>
      <c r="AG277" s="6" t="str">
        <f t="shared" si="58"/>
        <v/>
      </c>
      <c r="AH277" s="6" t="str">
        <f t="shared" si="59"/>
        <v/>
      </c>
    </row>
    <row r="278" spans="1:34">
      <c r="A278" s="9"/>
      <c r="C278" s="4" t="str">
        <f>IFERROR(VLOOKUP(B278,'Code Lists'!$A:$B,2,FALSE),"")</f>
        <v/>
      </c>
      <c r="F278" s="4" t="str">
        <f>IFERROR(VLOOKUP(E278,'Code Lists'!$D:$E,2,FALSE),"")</f>
        <v/>
      </c>
      <c r="H278" s="4" t="str">
        <f>IFERROR(VLOOKUP(G278,'Code Lists'!$G:$H,2,FALSE),"")</f>
        <v/>
      </c>
      <c r="J278" s="10"/>
      <c r="M278" s="11"/>
      <c r="Q278" s="7" t="str">
        <f>IF(VedAarnaSKUMaster[[#This Row],[HSN/SAC Code]]=998822,5%,IF(VedAarnaSKUMaster[[#This Row],[HSN/SAC Code]]=998391,18%,IF(VedAarnaSKUMaster[[#This Row],[HSN/SAC Code]]=998723,5%,"")))</f>
        <v/>
      </c>
      <c r="R278" s="5" t="str">
        <f t="shared" si="49"/>
        <v/>
      </c>
      <c r="S278" s="5" t="str">
        <f t="shared" si="50"/>
        <v/>
      </c>
      <c r="T278" s="11"/>
      <c r="U278" s="8" t="str">
        <f>IF(OR(VedAarnaSKUMaster[[#This Row],[Selling Price]]="",VedAarnaSKUMaster[[#This Row],[Selling Price]]=0),"",CEILING(VedAarnaSKUMaster[[#This Row],[Selling Price]]/(1-20%),100)-1)</f>
        <v/>
      </c>
      <c r="V278">
        <f t="shared" si="60"/>
        <v>0</v>
      </c>
      <c r="W278" s="8"/>
      <c r="Z278" s="6" t="str">
        <f t="shared" si="51"/>
        <v/>
      </c>
      <c r="AA278" s="6" t="str">
        <f t="shared" si="52"/>
        <v/>
      </c>
      <c r="AB278" s="6" t="str">
        <f t="shared" si="53"/>
        <v/>
      </c>
      <c r="AC278" s="6" t="str">
        <f t="shared" si="54"/>
        <v/>
      </c>
      <c r="AD278" s="6" t="str">
        <f t="shared" si="55"/>
        <v/>
      </c>
      <c r="AE278" s="6" t="str">
        <f t="shared" si="56"/>
        <v/>
      </c>
      <c r="AF278" s="6" t="str">
        <f t="shared" si="57"/>
        <v/>
      </c>
      <c r="AG278" s="6" t="str">
        <f t="shared" si="58"/>
        <v/>
      </c>
      <c r="AH278" s="6" t="str">
        <f t="shared" si="59"/>
        <v/>
      </c>
    </row>
    <row r="279" spans="1:34">
      <c r="A279" s="9"/>
      <c r="C279" s="4" t="str">
        <f>IFERROR(VLOOKUP(B279,'Code Lists'!$A:$B,2,FALSE),"")</f>
        <v/>
      </c>
      <c r="F279" s="4" t="str">
        <f>IFERROR(VLOOKUP(E279,'Code Lists'!$D:$E,2,FALSE),"")</f>
        <v/>
      </c>
      <c r="H279" s="4" t="str">
        <f>IFERROR(VLOOKUP(G279,'Code Lists'!$G:$H,2,FALSE),"")</f>
        <v/>
      </c>
      <c r="J279" s="10"/>
      <c r="M279" s="11"/>
      <c r="Q279" s="7" t="str">
        <f>IF(VedAarnaSKUMaster[[#This Row],[HSN/SAC Code]]=998822,5%,IF(VedAarnaSKUMaster[[#This Row],[HSN/SAC Code]]=998391,18%,IF(VedAarnaSKUMaster[[#This Row],[HSN/SAC Code]]=998723,5%,"")))</f>
        <v/>
      </c>
      <c r="R279" s="5" t="str">
        <f t="shared" si="49"/>
        <v/>
      </c>
      <c r="S279" s="5" t="str">
        <f t="shared" si="50"/>
        <v/>
      </c>
      <c r="T279" s="11"/>
      <c r="U279" s="8" t="str">
        <f>IF(OR(VedAarnaSKUMaster[[#This Row],[Selling Price]]="",VedAarnaSKUMaster[[#This Row],[Selling Price]]=0),"",CEILING(VedAarnaSKUMaster[[#This Row],[Selling Price]]/(1-20%),100)-1)</f>
        <v/>
      </c>
      <c r="V279">
        <f t="shared" si="60"/>
        <v>0</v>
      </c>
      <c r="W279" s="8"/>
      <c r="Z279" s="6" t="str">
        <f t="shared" si="51"/>
        <v/>
      </c>
      <c r="AA279" s="6" t="str">
        <f t="shared" si="52"/>
        <v/>
      </c>
      <c r="AB279" s="6" t="str">
        <f t="shared" si="53"/>
        <v/>
      </c>
      <c r="AC279" s="6" t="str">
        <f t="shared" si="54"/>
        <v/>
      </c>
      <c r="AD279" s="6" t="str">
        <f t="shared" si="55"/>
        <v/>
      </c>
      <c r="AE279" s="6" t="str">
        <f t="shared" si="56"/>
        <v/>
      </c>
      <c r="AF279" s="6" t="str">
        <f t="shared" si="57"/>
        <v/>
      </c>
      <c r="AG279" s="6" t="str">
        <f t="shared" si="58"/>
        <v/>
      </c>
      <c r="AH279" s="6" t="str">
        <f t="shared" si="59"/>
        <v/>
      </c>
    </row>
    <row r="280" spans="1:34">
      <c r="A280" s="9"/>
      <c r="C280" s="4" t="str">
        <f>IFERROR(VLOOKUP(B280,'Code Lists'!$A:$B,2,FALSE),"")</f>
        <v/>
      </c>
      <c r="F280" s="4" t="str">
        <f>IFERROR(VLOOKUP(E280,'Code Lists'!$D:$E,2,FALSE),"")</f>
        <v/>
      </c>
      <c r="H280" s="4" t="str">
        <f>IFERROR(VLOOKUP(G280,'Code Lists'!$G:$H,2,FALSE),"")</f>
        <v/>
      </c>
      <c r="J280" s="10"/>
      <c r="M280" s="11"/>
      <c r="Q280" s="7" t="str">
        <f>IF(VedAarnaSKUMaster[[#This Row],[HSN/SAC Code]]=998822,5%,IF(VedAarnaSKUMaster[[#This Row],[HSN/SAC Code]]=998391,18%,IF(VedAarnaSKUMaster[[#This Row],[HSN/SAC Code]]=998723,5%,"")))</f>
        <v/>
      </c>
      <c r="R280" s="5" t="str">
        <f t="shared" si="49"/>
        <v/>
      </c>
      <c r="S280" s="5" t="str">
        <f t="shared" si="50"/>
        <v/>
      </c>
      <c r="T280" s="11"/>
      <c r="U280" s="8" t="str">
        <f>IF(OR(VedAarnaSKUMaster[[#This Row],[Selling Price]]="",VedAarnaSKUMaster[[#This Row],[Selling Price]]=0),"",CEILING(VedAarnaSKUMaster[[#This Row],[Selling Price]]/(1-20%),100)-1)</f>
        <v/>
      </c>
      <c r="V280">
        <f t="shared" si="60"/>
        <v>0</v>
      </c>
      <c r="W280" s="8"/>
      <c r="Z280" s="6" t="str">
        <f t="shared" si="51"/>
        <v/>
      </c>
      <c r="AA280" s="6" t="str">
        <f t="shared" si="52"/>
        <v/>
      </c>
      <c r="AB280" s="6" t="str">
        <f t="shared" si="53"/>
        <v/>
      </c>
      <c r="AC280" s="6" t="str">
        <f t="shared" si="54"/>
        <v/>
      </c>
      <c r="AD280" s="6" t="str">
        <f t="shared" si="55"/>
        <v/>
      </c>
      <c r="AE280" s="6" t="str">
        <f t="shared" si="56"/>
        <v/>
      </c>
      <c r="AF280" s="6" t="str">
        <f t="shared" si="57"/>
        <v/>
      </c>
      <c r="AG280" s="6" t="str">
        <f t="shared" si="58"/>
        <v/>
      </c>
      <c r="AH280" s="6" t="str">
        <f t="shared" si="59"/>
        <v/>
      </c>
    </row>
    <row r="281" spans="1:34">
      <c r="A281" s="9"/>
      <c r="C281" s="4" t="str">
        <f>IFERROR(VLOOKUP(B281,'Code Lists'!$A:$B,2,FALSE),"")</f>
        <v/>
      </c>
      <c r="F281" s="4" t="str">
        <f>IFERROR(VLOOKUP(E281,'Code Lists'!$D:$E,2,FALSE),"")</f>
        <v/>
      </c>
      <c r="H281" s="4" t="str">
        <f>IFERROR(VLOOKUP(G281,'Code Lists'!$G:$H,2,FALSE),"")</f>
        <v/>
      </c>
      <c r="J281" s="10"/>
      <c r="M281" s="11"/>
      <c r="Q281" s="7" t="str">
        <f>IF(VedAarnaSKUMaster[[#This Row],[HSN/SAC Code]]=998822,5%,IF(VedAarnaSKUMaster[[#This Row],[HSN/SAC Code]]=998391,18%,IF(VedAarnaSKUMaster[[#This Row],[HSN/SAC Code]]=998723,5%,"")))</f>
        <v/>
      </c>
      <c r="R281" s="5" t="str">
        <f t="shared" si="49"/>
        <v/>
      </c>
      <c r="S281" s="5" t="str">
        <f t="shared" si="50"/>
        <v/>
      </c>
      <c r="T281" s="11"/>
      <c r="U281" s="8" t="str">
        <f>IF(OR(VedAarnaSKUMaster[[#This Row],[Selling Price]]="",VedAarnaSKUMaster[[#This Row],[Selling Price]]=0),"",CEILING(VedAarnaSKUMaster[[#This Row],[Selling Price]]/(1-20%),100)-1)</f>
        <v/>
      </c>
      <c r="V281">
        <f t="shared" si="60"/>
        <v>0</v>
      </c>
      <c r="W281" s="8"/>
      <c r="Z281" s="6" t="str">
        <f t="shared" si="51"/>
        <v/>
      </c>
      <c r="AA281" s="6" t="str">
        <f t="shared" si="52"/>
        <v/>
      </c>
      <c r="AB281" s="6" t="str">
        <f t="shared" si="53"/>
        <v/>
      </c>
      <c r="AC281" s="6" t="str">
        <f t="shared" si="54"/>
        <v/>
      </c>
      <c r="AD281" s="6" t="str">
        <f t="shared" si="55"/>
        <v/>
      </c>
      <c r="AE281" s="6" t="str">
        <f t="shared" si="56"/>
        <v/>
      </c>
      <c r="AF281" s="6" t="str">
        <f t="shared" si="57"/>
        <v/>
      </c>
      <c r="AG281" s="6" t="str">
        <f t="shared" si="58"/>
        <v/>
      </c>
      <c r="AH281" s="6" t="str">
        <f t="shared" si="59"/>
        <v/>
      </c>
    </row>
    <row r="282" spans="1:34">
      <c r="A282" s="9"/>
      <c r="C282" s="4" t="str">
        <f>IFERROR(VLOOKUP(B282,'Code Lists'!$A:$B,2,FALSE),"")</f>
        <v/>
      </c>
      <c r="F282" s="4" t="str">
        <f>IFERROR(VLOOKUP(E282,'Code Lists'!$D:$E,2,FALSE),"")</f>
        <v/>
      </c>
      <c r="H282" s="4" t="str">
        <f>IFERROR(VLOOKUP(G282,'Code Lists'!$G:$H,2,FALSE),"")</f>
        <v/>
      </c>
      <c r="J282" s="10"/>
      <c r="M282" s="11"/>
      <c r="Q282" s="7" t="str">
        <f>IF(VedAarnaSKUMaster[[#This Row],[HSN/SAC Code]]=998822,5%,IF(VedAarnaSKUMaster[[#This Row],[HSN/SAC Code]]=998391,18%,IF(VedAarnaSKUMaster[[#This Row],[HSN/SAC Code]]=998723,5%,"")))</f>
        <v/>
      </c>
      <c r="R282" s="5" t="str">
        <f t="shared" si="49"/>
        <v/>
      </c>
      <c r="S282" s="5" t="str">
        <f t="shared" si="50"/>
        <v/>
      </c>
      <c r="T282" s="11"/>
      <c r="U282" s="8" t="str">
        <f>IF(OR(VedAarnaSKUMaster[[#This Row],[Selling Price]]="",VedAarnaSKUMaster[[#This Row],[Selling Price]]=0),"",CEILING(VedAarnaSKUMaster[[#This Row],[Selling Price]]/(1-20%),100)-1)</f>
        <v/>
      </c>
      <c r="V282">
        <f t="shared" si="60"/>
        <v>0</v>
      </c>
      <c r="W282" s="8"/>
      <c r="Z282" s="6" t="str">
        <f t="shared" si="51"/>
        <v/>
      </c>
      <c r="AA282" s="6" t="str">
        <f t="shared" si="52"/>
        <v/>
      </c>
      <c r="AB282" s="6" t="str">
        <f t="shared" si="53"/>
        <v/>
      </c>
      <c r="AC282" s="6" t="str">
        <f t="shared" si="54"/>
        <v/>
      </c>
      <c r="AD282" s="6" t="str">
        <f t="shared" si="55"/>
        <v/>
      </c>
      <c r="AE282" s="6" t="str">
        <f t="shared" si="56"/>
        <v/>
      </c>
      <c r="AF282" s="6" t="str">
        <f t="shared" si="57"/>
        <v/>
      </c>
      <c r="AG282" s="6" t="str">
        <f t="shared" si="58"/>
        <v/>
      </c>
      <c r="AH282" s="6" t="str">
        <f t="shared" si="59"/>
        <v/>
      </c>
    </row>
    <row r="283" spans="1:34">
      <c r="A283" s="9"/>
      <c r="C283" s="4" t="str">
        <f>IFERROR(VLOOKUP(B283,'Code Lists'!$A:$B,2,FALSE),"")</f>
        <v/>
      </c>
      <c r="F283" s="4" t="str">
        <f>IFERROR(VLOOKUP(E283,'Code Lists'!$D:$E,2,FALSE),"")</f>
        <v/>
      </c>
      <c r="H283" s="4" t="str">
        <f>IFERROR(VLOOKUP(G283,'Code Lists'!$G:$H,2,FALSE),"")</f>
        <v/>
      </c>
      <c r="J283" s="10"/>
      <c r="M283" s="11"/>
      <c r="Q283" s="7" t="str">
        <f>IF(VedAarnaSKUMaster[[#This Row],[HSN/SAC Code]]=998822,5%,IF(VedAarnaSKUMaster[[#This Row],[HSN/SAC Code]]=998391,18%,IF(VedAarnaSKUMaster[[#This Row],[HSN/SAC Code]]=998723,5%,"")))</f>
        <v/>
      </c>
      <c r="R283" s="5" t="str">
        <f t="shared" si="49"/>
        <v/>
      </c>
      <c r="S283" s="5" t="str">
        <f t="shared" si="50"/>
        <v/>
      </c>
      <c r="T283" s="11"/>
      <c r="U283" s="8" t="str">
        <f>IF(OR(VedAarnaSKUMaster[[#This Row],[Selling Price]]="",VedAarnaSKUMaster[[#This Row],[Selling Price]]=0),"",CEILING(VedAarnaSKUMaster[[#This Row],[Selling Price]]/(1-20%),100)-1)</f>
        <v/>
      </c>
      <c r="V283">
        <f t="shared" si="60"/>
        <v>0</v>
      </c>
      <c r="W283" s="8"/>
      <c r="Z283" s="6" t="str">
        <f t="shared" si="51"/>
        <v/>
      </c>
      <c r="AA283" s="6" t="str">
        <f t="shared" si="52"/>
        <v/>
      </c>
      <c r="AB283" s="6" t="str">
        <f t="shared" si="53"/>
        <v/>
      </c>
      <c r="AC283" s="6" t="str">
        <f t="shared" si="54"/>
        <v/>
      </c>
      <c r="AD283" s="6" t="str">
        <f t="shared" si="55"/>
        <v/>
      </c>
      <c r="AE283" s="6" t="str">
        <f t="shared" si="56"/>
        <v/>
      </c>
      <c r="AF283" s="6" t="str">
        <f t="shared" si="57"/>
        <v/>
      </c>
      <c r="AG283" s="6" t="str">
        <f t="shared" si="58"/>
        <v/>
      </c>
      <c r="AH283" s="6" t="str">
        <f t="shared" si="59"/>
        <v/>
      </c>
    </row>
    <row r="284" spans="1:34">
      <c r="A284" s="9"/>
      <c r="C284" s="4" t="str">
        <f>IFERROR(VLOOKUP(B284,'Code Lists'!$A:$B,2,FALSE),"")</f>
        <v/>
      </c>
      <c r="F284" s="4" t="str">
        <f>IFERROR(VLOOKUP(E284,'Code Lists'!$D:$E,2,FALSE),"")</f>
        <v/>
      </c>
      <c r="H284" s="4" t="str">
        <f>IFERROR(VLOOKUP(G284,'Code Lists'!$G:$H,2,FALSE),"")</f>
        <v/>
      </c>
      <c r="J284" s="10"/>
      <c r="M284" s="11"/>
      <c r="Q284" s="7" t="str">
        <f>IF(VedAarnaSKUMaster[[#This Row],[HSN/SAC Code]]=998822,5%,IF(VedAarnaSKUMaster[[#This Row],[HSN/SAC Code]]=998391,18%,IF(VedAarnaSKUMaster[[#This Row],[HSN/SAC Code]]=998723,5%,"")))</f>
        <v/>
      </c>
      <c r="R284" s="5" t="str">
        <f t="shared" si="49"/>
        <v/>
      </c>
      <c r="S284" s="5" t="str">
        <f t="shared" si="50"/>
        <v/>
      </c>
      <c r="T284" s="11"/>
      <c r="U284" s="8" t="str">
        <f>IF(OR(VedAarnaSKUMaster[[#This Row],[Selling Price]]="",VedAarnaSKUMaster[[#This Row],[Selling Price]]=0),"",CEILING(VedAarnaSKUMaster[[#This Row],[Selling Price]]/(1-20%),100)-1)</f>
        <v/>
      </c>
      <c r="V284">
        <f t="shared" si="60"/>
        <v>0</v>
      </c>
      <c r="W284" s="8"/>
      <c r="Z284" s="6" t="str">
        <f t="shared" si="51"/>
        <v/>
      </c>
      <c r="AA284" s="6" t="str">
        <f t="shared" si="52"/>
        <v/>
      </c>
      <c r="AB284" s="6" t="str">
        <f t="shared" si="53"/>
        <v/>
      </c>
      <c r="AC284" s="6" t="str">
        <f t="shared" si="54"/>
        <v/>
      </c>
      <c r="AD284" s="6" t="str">
        <f t="shared" si="55"/>
        <v/>
      </c>
      <c r="AE284" s="6" t="str">
        <f t="shared" si="56"/>
        <v/>
      </c>
      <c r="AF284" s="6" t="str">
        <f t="shared" si="57"/>
        <v/>
      </c>
      <c r="AG284" s="6" t="str">
        <f t="shared" si="58"/>
        <v/>
      </c>
      <c r="AH284" s="6" t="str">
        <f t="shared" si="59"/>
        <v/>
      </c>
    </row>
    <row r="285" spans="1:34">
      <c r="A285" s="9"/>
      <c r="C285" s="4" t="str">
        <f>IFERROR(VLOOKUP(B285,'Code Lists'!$A:$B,2,FALSE),"")</f>
        <v/>
      </c>
      <c r="F285" s="4" t="str">
        <f>IFERROR(VLOOKUP(E285,'Code Lists'!$D:$E,2,FALSE),"")</f>
        <v/>
      </c>
      <c r="H285" s="4" t="str">
        <f>IFERROR(VLOOKUP(G285,'Code Lists'!$G:$H,2,FALSE),"")</f>
        <v/>
      </c>
      <c r="J285" s="10"/>
      <c r="M285" s="11"/>
      <c r="Q285" s="7" t="str">
        <f>IF(VedAarnaSKUMaster[[#This Row],[HSN/SAC Code]]=998822,5%,IF(VedAarnaSKUMaster[[#This Row],[HSN/SAC Code]]=998391,18%,IF(VedAarnaSKUMaster[[#This Row],[HSN/SAC Code]]=998723,5%,"")))</f>
        <v/>
      </c>
      <c r="R285" s="5" t="str">
        <f t="shared" si="49"/>
        <v/>
      </c>
      <c r="S285" s="5" t="str">
        <f t="shared" si="50"/>
        <v/>
      </c>
      <c r="T285" s="11"/>
      <c r="U285" s="8" t="str">
        <f>IF(OR(VedAarnaSKUMaster[[#This Row],[Selling Price]]="",VedAarnaSKUMaster[[#This Row],[Selling Price]]=0),"",CEILING(VedAarnaSKUMaster[[#This Row],[Selling Price]]/(1-20%),100)-1)</f>
        <v/>
      </c>
      <c r="V285">
        <f t="shared" si="60"/>
        <v>0</v>
      </c>
      <c r="W285" s="8"/>
      <c r="Z285" s="6" t="str">
        <f t="shared" si="51"/>
        <v/>
      </c>
      <c r="AA285" s="6" t="str">
        <f t="shared" si="52"/>
        <v/>
      </c>
      <c r="AB285" s="6" t="str">
        <f t="shared" si="53"/>
        <v/>
      </c>
      <c r="AC285" s="6" t="str">
        <f t="shared" si="54"/>
        <v/>
      </c>
      <c r="AD285" s="6" t="str">
        <f t="shared" si="55"/>
        <v/>
      </c>
      <c r="AE285" s="6" t="str">
        <f t="shared" si="56"/>
        <v/>
      </c>
      <c r="AF285" s="6" t="str">
        <f t="shared" si="57"/>
        <v/>
      </c>
      <c r="AG285" s="6" t="str">
        <f t="shared" si="58"/>
        <v/>
      </c>
      <c r="AH285" s="6" t="str">
        <f t="shared" si="59"/>
        <v/>
      </c>
    </row>
    <row r="286" spans="1:34">
      <c r="A286" s="9"/>
      <c r="C286" s="4" t="str">
        <f>IFERROR(VLOOKUP(B286,'Code Lists'!$A:$B,2,FALSE),"")</f>
        <v/>
      </c>
      <c r="F286" s="4" t="str">
        <f>IFERROR(VLOOKUP(E286,'Code Lists'!$D:$E,2,FALSE),"")</f>
        <v/>
      </c>
      <c r="H286" s="4" t="str">
        <f>IFERROR(VLOOKUP(G286,'Code Lists'!$G:$H,2,FALSE),"")</f>
        <v/>
      </c>
      <c r="J286" s="10"/>
      <c r="M286" s="11"/>
      <c r="Q286" s="7" t="str">
        <f>IF(VedAarnaSKUMaster[[#This Row],[HSN/SAC Code]]=998822,5%,IF(VedAarnaSKUMaster[[#This Row],[HSN/SAC Code]]=998391,18%,IF(VedAarnaSKUMaster[[#This Row],[HSN/SAC Code]]=998723,5%,"")))</f>
        <v/>
      </c>
      <c r="R286" s="5" t="str">
        <f t="shared" si="49"/>
        <v/>
      </c>
      <c r="S286" s="5" t="str">
        <f t="shared" si="50"/>
        <v/>
      </c>
      <c r="T286" s="11"/>
      <c r="U286" s="8" t="str">
        <f>IF(OR(VedAarnaSKUMaster[[#This Row],[Selling Price]]="",VedAarnaSKUMaster[[#This Row],[Selling Price]]=0),"",CEILING(VedAarnaSKUMaster[[#This Row],[Selling Price]]/(1-20%),100)-1)</f>
        <v/>
      </c>
      <c r="V286">
        <f t="shared" si="60"/>
        <v>0</v>
      </c>
      <c r="W286" s="8"/>
      <c r="Z286" s="6" t="str">
        <f t="shared" si="51"/>
        <v/>
      </c>
      <c r="AA286" s="6" t="str">
        <f t="shared" si="52"/>
        <v/>
      </c>
      <c r="AB286" s="6" t="str">
        <f t="shared" si="53"/>
        <v/>
      </c>
      <c r="AC286" s="6" t="str">
        <f t="shared" si="54"/>
        <v/>
      </c>
      <c r="AD286" s="6" t="str">
        <f t="shared" si="55"/>
        <v/>
      </c>
      <c r="AE286" s="6" t="str">
        <f t="shared" si="56"/>
        <v/>
      </c>
      <c r="AF286" s="6" t="str">
        <f t="shared" si="57"/>
        <v/>
      </c>
      <c r="AG286" s="6" t="str">
        <f t="shared" si="58"/>
        <v/>
      </c>
      <c r="AH286" s="6" t="str">
        <f t="shared" si="59"/>
        <v/>
      </c>
    </row>
    <row r="287" spans="1:34">
      <c r="A287" s="9"/>
      <c r="C287" s="4" t="str">
        <f>IFERROR(VLOOKUP(B287,'Code Lists'!$A:$B,2,FALSE),"")</f>
        <v/>
      </c>
      <c r="F287" s="4" t="str">
        <f>IFERROR(VLOOKUP(E287,'Code Lists'!$D:$E,2,FALSE),"")</f>
        <v/>
      </c>
      <c r="H287" s="4" t="str">
        <f>IFERROR(VLOOKUP(G287,'Code Lists'!$G:$H,2,FALSE),"")</f>
        <v/>
      </c>
      <c r="J287" s="10"/>
      <c r="M287" s="11"/>
      <c r="Q287" s="7" t="str">
        <f>IF(VedAarnaSKUMaster[[#This Row],[HSN/SAC Code]]=998822,5%,IF(VedAarnaSKUMaster[[#This Row],[HSN/SAC Code]]=998391,18%,IF(VedAarnaSKUMaster[[#This Row],[HSN/SAC Code]]=998723,5%,"")))</f>
        <v/>
      </c>
      <c r="R287" s="5" t="str">
        <f t="shared" si="49"/>
        <v/>
      </c>
      <c r="S287" s="5" t="str">
        <f t="shared" si="50"/>
        <v/>
      </c>
      <c r="T287" s="11"/>
      <c r="U287" s="8" t="str">
        <f>IF(OR(VedAarnaSKUMaster[[#This Row],[Selling Price]]="",VedAarnaSKUMaster[[#This Row],[Selling Price]]=0),"",CEILING(VedAarnaSKUMaster[[#This Row],[Selling Price]]/(1-20%),100)-1)</f>
        <v/>
      </c>
      <c r="V287">
        <f t="shared" si="60"/>
        <v>0</v>
      </c>
      <c r="W287" s="8"/>
      <c r="Z287" s="6" t="str">
        <f t="shared" si="51"/>
        <v/>
      </c>
      <c r="AA287" s="6" t="str">
        <f t="shared" si="52"/>
        <v/>
      </c>
      <c r="AB287" s="6" t="str">
        <f t="shared" si="53"/>
        <v/>
      </c>
      <c r="AC287" s="6" t="str">
        <f t="shared" si="54"/>
        <v/>
      </c>
      <c r="AD287" s="6" t="str">
        <f t="shared" si="55"/>
        <v/>
      </c>
      <c r="AE287" s="6" t="str">
        <f t="shared" si="56"/>
        <v/>
      </c>
      <c r="AF287" s="6" t="str">
        <f t="shared" si="57"/>
        <v/>
      </c>
      <c r="AG287" s="6" t="str">
        <f t="shared" si="58"/>
        <v/>
      </c>
      <c r="AH287" s="6" t="str">
        <f t="shared" si="59"/>
        <v/>
      </c>
    </row>
    <row r="288" spans="1:34">
      <c r="A288" s="9"/>
      <c r="C288" s="4" t="str">
        <f>IFERROR(VLOOKUP(B288,'Code Lists'!$A:$B,2,FALSE),"")</f>
        <v/>
      </c>
      <c r="F288" s="4" t="str">
        <f>IFERROR(VLOOKUP(E288,'Code Lists'!$D:$E,2,FALSE),"")</f>
        <v/>
      </c>
      <c r="H288" s="4" t="str">
        <f>IFERROR(VLOOKUP(G288,'Code Lists'!$G:$H,2,FALSE),"")</f>
        <v/>
      </c>
      <c r="J288" s="10"/>
      <c r="M288" s="11"/>
      <c r="Q288" s="7" t="str">
        <f>IF(VedAarnaSKUMaster[[#This Row],[HSN/SAC Code]]=998822,5%,IF(VedAarnaSKUMaster[[#This Row],[HSN/SAC Code]]=998391,18%,IF(VedAarnaSKUMaster[[#This Row],[HSN/SAC Code]]=998723,5%,"")))</f>
        <v/>
      </c>
      <c r="R288" s="5" t="str">
        <f t="shared" si="49"/>
        <v/>
      </c>
      <c r="S288" s="5" t="str">
        <f t="shared" si="50"/>
        <v/>
      </c>
      <c r="T288" s="11"/>
      <c r="U288" s="8" t="str">
        <f>IF(OR(VedAarnaSKUMaster[[#This Row],[Selling Price]]="",VedAarnaSKUMaster[[#This Row],[Selling Price]]=0),"",CEILING(VedAarnaSKUMaster[[#This Row],[Selling Price]]/(1-20%),100)-1)</f>
        <v/>
      </c>
      <c r="V288">
        <f t="shared" si="60"/>
        <v>0</v>
      </c>
      <c r="W288" s="8"/>
      <c r="Z288" s="6" t="str">
        <f t="shared" si="51"/>
        <v/>
      </c>
      <c r="AA288" s="6" t="str">
        <f t="shared" si="52"/>
        <v/>
      </c>
      <c r="AB288" s="6" t="str">
        <f t="shared" si="53"/>
        <v/>
      </c>
      <c r="AC288" s="6" t="str">
        <f t="shared" si="54"/>
        <v/>
      </c>
      <c r="AD288" s="6" t="str">
        <f t="shared" si="55"/>
        <v/>
      </c>
      <c r="AE288" s="6" t="str">
        <f t="shared" si="56"/>
        <v/>
      </c>
      <c r="AF288" s="6" t="str">
        <f t="shared" si="57"/>
        <v/>
      </c>
      <c r="AG288" s="6" t="str">
        <f t="shared" si="58"/>
        <v/>
      </c>
      <c r="AH288" s="6" t="str">
        <f t="shared" si="59"/>
        <v/>
      </c>
    </row>
    <row r="289" spans="1:34">
      <c r="A289" s="9"/>
      <c r="C289" s="4" t="str">
        <f>IFERROR(VLOOKUP(B289,'Code Lists'!$A:$B,2,FALSE),"")</f>
        <v/>
      </c>
      <c r="F289" s="4" t="str">
        <f>IFERROR(VLOOKUP(E289,'Code Lists'!$D:$E,2,FALSE),"")</f>
        <v/>
      </c>
      <c r="H289" s="4" t="str">
        <f>IFERROR(VLOOKUP(G289,'Code Lists'!$G:$H,2,FALSE),"")</f>
        <v/>
      </c>
      <c r="J289" s="10"/>
      <c r="M289" s="11"/>
      <c r="Q289" s="7" t="str">
        <f>IF(VedAarnaSKUMaster[[#This Row],[HSN/SAC Code]]=998822,5%,IF(VedAarnaSKUMaster[[#This Row],[HSN/SAC Code]]=998391,18%,IF(VedAarnaSKUMaster[[#This Row],[HSN/SAC Code]]=998723,5%,"")))</f>
        <v/>
      </c>
      <c r="R289" s="5" t="str">
        <f t="shared" si="49"/>
        <v/>
      </c>
      <c r="S289" s="5" t="str">
        <f t="shared" si="50"/>
        <v/>
      </c>
      <c r="T289" s="11"/>
      <c r="U289" s="8" t="str">
        <f>IF(OR(VedAarnaSKUMaster[[#This Row],[Selling Price]]="",VedAarnaSKUMaster[[#This Row],[Selling Price]]=0),"",CEILING(VedAarnaSKUMaster[[#This Row],[Selling Price]]/(1-20%),100)-1)</f>
        <v/>
      </c>
      <c r="V289">
        <f t="shared" si="60"/>
        <v>0</v>
      </c>
      <c r="W289" s="8"/>
      <c r="Z289" s="6" t="str">
        <f t="shared" si="51"/>
        <v/>
      </c>
      <c r="AA289" s="6" t="str">
        <f t="shared" si="52"/>
        <v/>
      </c>
      <c r="AB289" s="6" t="str">
        <f t="shared" si="53"/>
        <v/>
      </c>
      <c r="AC289" s="6" t="str">
        <f t="shared" si="54"/>
        <v/>
      </c>
      <c r="AD289" s="6" t="str">
        <f t="shared" si="55"/>
        <v/>
      </c>
      <c r="AE289" s="6" t="str">
        <f t="shared" si="56"/>
        <v/>
      </c>
      <c r="AF289" s="6" t="str">
        <f t="shared" si="57"/>
        <v/>
      </c>
      <c r="AG289" s="6" t="str">
        <f t="shared" si="58"/>
        <v/>
      </c>
      <c r="AH289" s="6" t="str">
        <f t="shared" si="59"/>
        <v/>
      </c>
    </row>
    <row r="290" spans="1:34">
      <c r="A290" s="9"/>
      <c r="C290" s="4" t="str">
        <f>IFERROR(VLOOKUP(B290,'Code Lists'!$A:$B,2,FALSE),"")</f>
        <v/>
      </c>
      <c r="F290" s="4" t="str">
        <f>IFERROR(VLOOKUP(E290,'Code Lists'!$D:$E,2,FALSE),"")</f>
        <v/>
      </c>
      <c r="H290" s="4" t="str">
        <f>IFERROR(VLOOKUP(G290,'Code Lists'!$G:$H,2,FALSE),"")</f>
        <v/>
      </c>
      <c r="J290" s="10"/>
      <c r="M290" s="11"/>
      <c r="Q290" s="7" t="str">
        <f>IF(VedAarnaSKUMaster[[#This Row],[HSN/SAC Code]]=998822,5%,IF(VedAarnaSKUMaster[[#This Row],[HSN/SAC Code]]=998391,18%,IF(VedAarnaSKUMaster[[#This Row],[HSN/SAC Code]]=998723,5%,"")))</f>
        <v/>
      </c>
      <c r="R290" s="5" t="str">
        <f t="shared" si="49"/>
        <v/>
      </c>
      <c r="S290" s="5" t="str">
        <f t="shared" si="50"/>
        <v/>
      </c>
      <c r="T290" s="11"/>
      <c r="U290" s="8" t="str">
        <f>IF(OR(VedAarnaSKUMaster[[#This Row],[Selling Price]]="",VedAarnaSKUMaster[[#This Row],[Selling Price]]=0),"",CEILING(VedAarnaSKUMaster[[#This Row],[Selling Price]]/(1-20%),100)-1)</f>
        <v/>
      </c>
      <c r="V290">
        <f t="shared" si="60"/>
        <v>0</v>
      </c>
      <c r="W290" s="8"/>
      <c r="Z290" s="6" t="str">
        <f t="shared" si="51"/>
        <v/>
      </c>
      <c r="AA290" s="6" t="str">
        <f t="shared" si="52"/>
        <v/>
      </c>
      <c r="AB290" s="6" t="str">
        <f t="shared" si="53"/>
        <v/>
      </c>
      <c r="AC290" s="6" t="str">
        <f t="shared" si="54"/>
        <v/>
      </c>
      <c r="AD290" s="6" t="str">
        <f t="shared" si="55"/>
        <v/>
      </c>
      <c r="AE290" s="6" t="str">
        <f t="shared" si="56"/>
        <v/>
      </c>
      <c r="AF290" s="6" t="str">
        <f t="shared" si="57"/>
        <v/>
      </c>
      <c r="AG290" s="6" t="str">
        <f t="shared" si="58"/>
        <v/>
      </c>
      <c r="AH290" s="6" t="str">
        <f t="shared" si="59"/>
        <v/>
      </c>
    </row>
    <row r="291" spans="1:34">
      <c r="A291" s="9"/>
      <c r="C291" s="4" t="str">
        <f>IFERROR(VLOOKUP(B291,'Code Lists'!$A:$B,2,FALSE),"")</f>
        <v/>
      </c>
      <c r="F291" s="4" t="str">
        <f>IFERROR(VLOOKUP(E291,'Code Lists'!$D:$E,2,FALSE),"")</f>
        <v/>
      </c>
      <c r="H291" s="4" t="str">
        <f>IFERROR(VLOOKUP(G291,'Code Lists'!$G:$H,2,FALSE),"")</f>
        <v/>
      </c>
      <c r="J291" s="10"/>
      <c r="M291" s="11"/>
      <c r="Q291" s="7" t="str">
        <f>IF(VedAarnaSKUMaster[[#This Row],[HSN/SAC Code]]=998822,5%,IF(VedAarnaSKUMaster[[#This Row],[HSN/SAC Code]]=998391,18%,IF(VedAarnaSKUMaster[[#This Row],[HSN/SAC Code]]=998723,5%,"")))</f>
        <v/>
      </c>
      <c r="R291" s="5" t="str">
        <f t="shared" si="49"/>
        <v/>
      </c>
      <c r="S291" s="5" t="str">
        <f t="shared" si="50"/>
        <v/>
      </c>
      <c r="T291" s="11"/>
      <c r="U291" s="8" t="str">
        <f>IF(OR(VedAarnaSKUMaster[[#This Row],[Selling Price]]="",VedAarnaSKUMaster[[#This Row],[Selling Price]]=0),"",CEILING(VedAarnaSKUMaster[[#This Row],[Selling Price]]/(1-20%),100)-1)</f>
        <v/>
      </c>
      <c r="V291">
        <f t="shared" si="60"/>
        <v>0</v>
      </c>
      <c r="W291" s="8"/>
      <c r="Z291" s="6" t="str">
        <f t="shared" si="51"/>
        <v/>
      </c>
      <c r="AA291" s="6" t="str">
        <f t="shared" si="52"/>
        <v/>
      </c>
      <c r="AB291" s="6" t="str">
        <f t="shared" si="53"/>
        <v/>
      </c>
      <c r="AC291" s="6" t="str">
        <f t="shared" si="54"/>
        <v/>
      </c>
      <c r="AD291" s="6" t="str">
        <f t="shared" si="55"/>
        <v/>
      </c>
      <c r="AE291" s="6" t="str">
        <f t="shared" si="56"/>
        <v/>
      </c>
      <c r="AF291" s="6" t="str">
        <f t="shared" si="57"/>
        <v/>
      </c>
      <c r="AG291" s="6" t="str">
        <f t="shared" si="58"/>
        <v/>
      </c>
      <c r="AH291" s="6" t="str">
        <f t="shared" si="59"/>
        <v/>
      </c>
    </row>
    <row r="292" spans="1:34">
      <c r="A292" s="9"/>
      <c r="C292" s="4" t="str">
        <f>IFERROR(VLOOKUP(B292,'Code Lists'!$A:$B,2,FALSE),"")</f>
        <v/>
      </c>
      <c r="F292" s="4" t="str">
        <f>IFERROR(VLOOKUP(E292,'Code Lists'!$D:$E,2,FALSE),"")</f>
        <v/>
      </c>
      <c r="H292" s="4" t="str">
        <f>IFERROR(VLOOKUP(G292,'Code Lists'!$G:$H,2,FALSE),"")</f>
        <v/>
      </c>
      <c r="J292" s="10"/>
      <c r="M292" s="11"/>
      <c r="Q292" s="7" t="str">
        <f>IF(VedAarnaSKUMaster[[#This Row],[HSN/SAC Code]]=998822,5%,IF(VedAarnaSKUMaster[[#This Row],[HSN/SAC Code]]=998391,18%,IF(VedAarnaSKUMaster[[#This Row],[HSN/SAC Code]]=998723,5%,"")))</f>
        <v/>
      </c>
      <c r="R292" s="5" t="str">
        <f t="shared" si="49"/>
        <v/>
      </c>
      <c r="S292" s="5" t="str">
        <f t="shared" si="50"/>
        <v/>
      </c>
      <c r="T292" s="11"/>
      <c r="U292" s="8" t="str">
        <f>IF(OR(VedAarnaSKUMaster[[#This Row],[Selling Price]]="",VedAarnaSKUMaster[[#This Row],[Selling Price]]=0),"",CEILING(VedAarnaSKUMaster[[#This Row],[Selling Price]]/(1-20%),100)-1)</f>
        <v/>
      </c>
      <c r="V292">
        <f t="shared" si="60"/>
        <v>0</v>
      </c>
      <c r="W292" s="8"/>
      <c r="Z292" s="6" t="str">
        <f t="shared" si="51"/>
        <v/>
      </c>
      <c r="AA292" s="6" t="str">
        <f t="shared" si="52"/>
        <v/>
      </c>
      <c r="AB292" s="6" t="str">
        <f t="shared" si="53"/>
        <v/>
      </c>
      <c r="AC292" s="6" t="str">
        <f t="shared" si="54"/>
        <v/>
      </c>
      <c r="AD292" s="6" t="str">
        <f t="shared" si="55"/>
        <v/>
      </c>
      <c r="AE292" s="6" t="str">
        <f t="shared" si="56"/>
        <v/>
      </c>
      <c r="AF292" s="6" t="str">
        <f t="shared" si="57"/>
        <v/>
      </c>
      <c r="AG292" s="6" t="str">
        <f t="shared" si="58"/>
        <v/>
      </c>
      <c r="AH292" s="6" t="str">
        <f t="shared" si="59"/>
        <v/>
      </c>
    </row>
    <row r="293" spans="1:34">
      <c r="A293" s="9"/>
      <c r="C293" s="4" t="str">
        <f>IFERROR(VLOOKUP(B293,'Code Lists'!$A:$B,2,FALSE),"")</f>
        <v/>
      </c>
      <c r="F293" s="4" t="str">
        <f>IFERROR(VLOOKUP(E293,'Code Lists'!$D:$E,2,FALSE),"")</f>
        <v/>
      </c>
      <c r="H293" s="4" t="str">
        <f>IFERROR(VLOOKUP(G293,'Code Lists'!$G:$H,2,FALSE),"")</f>
        <v/>
      </c>
      <c r="J293" s="10"/>
      <c r="M293" s="11"/>
      <c r="Q293" s="7" t="str">
        <f>IF(VedAarnaSKUMaster[[#This Row],[HSN/SAC Code]]=998822,5%,IF(VedAarnaSKUMaster[[#This Row],[HSN/SAC Code]]=998391,18%,IF(VedAarnaSKUMaster[[#This Row],[HSN/SAC Code]]=998723,5%,"")))</f>
        <v/>
      </c>
      <c r="R293" s="5" t="str">
        <f t="shared" si="49"/>
        <v/>
      </c>
      <c r="S293" s="5" t="str">
        <f t="shared" si="50"/>
        <v/>
      </c>
      <c r="T293" s="11"/>
      <c r="U293" s="8" t="str">
        <f>IF(OR(VedAarnaSKUMaster[[#This Row],[Selling Price]]="",VedAarnaSKUMaster[[#This Row],[Selling Price]]=0),"",CEILING(VedAarnaSKUMaster[[#This Row],[Selling Price]]/(1-20%),100)-1)</f>
        <v/>
      </c>
      <c r="V293">
        <f t="shared" si="60"/>
        <v>0</v>
      </c>
      <c r="W293" s="8"/>
      <c r="Z293" s="6" t="str">
        <f t="shared" si="51"/>
        <v/>
      </c>
      <c r="AA293" s="6" t="str">
        <f t="shared" si="52"/>
        <v/>
      </c>
      <c r="AB293" s="6" t="str">
        <f t="shared" si="53"/>
        <v/>
      </c>
      <c r="AC293" s="6" t="str">
        <f t="shared" si="54"/>
        <v/>
      </c>
      <c r="AD293" s="6" t="str">
        <f t="shared" si="55"/>
        <v/>
      </c>
      <c r="AE293" s="6" t="str">
        <f t="shared" si="56"/>
        <v/>
      </c>
      <c r="AF293" s="6" t="str">
        <f t="shared" si="57"/>
        <v/>
      </c>
      <c r="AG293" s="6" t="str">
        <f t="shared" si="58"/>
        <v/>
      </c>
      <c r="AH293" s="6" t="str">
        <f t="shared" si="59"/>
        <v/>
      </c>
    </row>
    <row r="294" spans="1:34">
      <c r="A294" s="9"/>
      <c r="C294" s="4" t="str">
        <f>IFERROR(VLOOKUP(B294,'Code Lists'!$A:$B,2,FALSE),"")</f>
        <v/>
      </c>
      <c r="F294" s="4" t="str">
        <f>IFERROR(VLOOKUP(E294,'Code Lists'!$D:$E,2,FALSE),"")</f>
        <v/>
      </c>
      <c r="H294" s="4" t="str">
        <f>IFERROR(VLOOKUP(G294,'Code Lists'!$G:$H,2,FALSE),"")</f>
        <v/>
      </c>
      <c r="J294" s="10"/>
      <c r="M294" s="11"/>
      <c r="Q294" s="7" t="str">
        <f>IF(VedAarnaSKUMaster[[#This Row],[HSN/SAC Code]]=998822,5%,IF(VedAarnaSKUMaster[[#This Row],[HSN/SAC Code]]=998391,18%,IF(VedAarnaSKUMaster[[#This Row],[HSN/SAC Code]]=998723,5%,"")))</f>
        <v/>
      </c>
      <c r="R294" s="5" t="str">
        <f t="shared" si="49"/>
        <v/>
      </c>
      <c r="S294" s="5" t="str">
        <f t="shared" si="50"/>
        <v/>
      </c>
      <c r="T294" s="11"/>
      <c r="U294" s="8" t="str">
        <f>IF(OR(VedAarnaSKUMaster[[#This Row],[Selling Price]]="",VedAarnaSKUMaster[[#This Row],[Selling Price]]=0),"",CEILING(VedAarnaSKUMaster[[#This Row],[Selling Price]]/(1-20%),100)-1)</f>
        <v/>
      </c>
      <c r="V294">
        <f t="shared" si="60"/>
        <v>0</v>
      </c>
      <c r="W294" s="8"/>
      <c r="Z294" s="6" t="str">
        <f t="shared" si="51"/>
        <v/>
      </c>
      <c r="AA294" s="6" t="str">
        <f t="shared" si="52"/>
        <v/>
      </c>
      <c r="AB294" s="6" t="str">
        <f t="shared" si="53"/>
        <v/>
      </c>
      <c r="AC294" s="6" t="str">
        <f t="shared" si="54"/>
        <v/>
      </c>
      <c r="AD294" s="6" t="str">
        <f t="shared" si="55"/>
        <v/>
      </c>
      <c r="AE294" s="6" t="str">
        <f t="shared" si="56"/>
        <v/>
      </c>
      <c r="AF294" s="6" t="str">
        <f t="shared" si="57"/>
        <v/>
      </c>
      <c r="AG294" s="6" t="str">
        <f t="shared" si="58"/>
        <v/>
      </c>
      <c r="AH294" s="6" t="str">
        <f t="shared" si="59"/>
        <v/>
      </c>
    </row>
    <row r="295" spans="1:34">
      <c r="A295" s="9"/>
      <c r="C295" s="4" t="str">
        <f>IFERROR(VLOOKUP(B295,'Code Lists'!$A:$B,2,FALSE),"")</f>
        <v/>
      </c>
      <c r="F295" s="4" t="str">
        <f>IFERROR(VLOOKUP(E295,'Code Lists'!$D:$E,2,FALSE),"")</f>
        <v/>
      </c>
      <c r="H295" s="4" t="str">
        <f>IFERROR(VLOOKUP(G295,'Code Lists'!$G:$H,2,FALSE),"")</f>
        <v/>
      </c>
      <c r="J295" s="10"/>
      <c r="M295" s="11"/>
      <c r="Q295" s="7" t="str">
        <f>IF(VedAarnaSKUMaster[[#This Row],[HSN/SAC Code]]=998822,5%,IF(VedAarnaSKUMaster[[#This Row],[HSN/SAC Code]]=998391,18%,IF(VedAarnaSKUMaster[[#This Row],[HSN/SAC Code]]=998723,5%,"")))</f>
        <v/>
      </c>
      <c r="R295" s="5" t="str">
        <f t="shared" si="49"/>
        <v/>
      </c>
      <c r="S295" s="5" t="str">
        <f t="shared" si="50"/>
        <v/>
      </c>
      <c r="T295" s="11"/>
      <c r="U295" s="8" t="str">
        <f>IF(OR(VedAarnaSKUMaster[[#This Row],[Selling Price]]="",VedAarnaSKUMaster[[#This Row],[Selling Price]]=0),"",CEILING(VedAarnaSKUMaster[[#This Row],[Selling Price]]/(1-20%),100)-1)</f>
        <v/>
      </c>
      <c r="V295">
        <f t="shared" si="60"/>
        <v>0</v>
      </c>
      <c r="W295" s="8"/>
      <c r="Z295" s="6" t="str">
        <f t="shared" si="51"/>
        <v/>
      </c>
      <c r="AA295" s="6" t="str">
        <f t="shared" si="52"/>
        <v/>
      </c>
      <c r="AB295" s="6" t="str">
        <f t="shared" si="53"/>
        <v/>
      </c>
      <c r="AC295" s="6" t="str">
        <f t="shared" si="54"/>
        <v/>
      </c>
      <c r="AD295" s="6" t="str">
        <f t="shared" si="55"/>
        <v/>
      </c>
      <c r="AE295" s="6" t="str">
        <f t="shared" si="56"/>
        <v/>
      </c>
      <c r="AF295" s="6" t="str">
        <f t="shared" si="57"/>
        <v/>
      </c>
      <c r="AG295" s="6" t="str">
        <f t="shared" si="58"/>
        <v/>
      </c>
      <c r="AH295" s="6" t="str">
        <f t="shared" si="59"/>
        <v/>
      </c>
    </row>
    <row r="296" spans="1:34">
      <c r="A296" s="9"/>
      <c r="C296" s="4" t="str">
        <f>IFERROR(VLOOKUP(B296,'Code Lists'!$A:$B,2,FALSE),"")</f>
        <v/>
      </c>
      <c r="F296" s="4" t="str">
        <f>IFERROR(VLOOKUP(E296,'Code Lists'!$D:$E,2,FALSE),"")</f>
        <v/>
      </c>
      <c r="H296" s="4" t="str">
        <f>IFERROR(VLOOKUP(G296,'Code Lists'!$G:$H,2,FALSE),"")</f>
        <v/>
      </c>
      <c r="J296" s="10"/>
      <c r="M296" s="11"/>
      <c r="Q296" s="7" t="str">
        <f>IF(VedAarnaSKUMaster[[#This Row],[HSN/SAC Code]]=998822,5%,IF(VedAarnaSKUMaster[[#This Row],[HSN/SAC Code]]=998391,18%,IF(VedAarnaSKUMaster[[#This Row],[HSN/SAC Code]]=998723,5%,"")))</f>
        <v/>
      </c>
      <c r="R296" s="5" t="str">
        <f t="shared" si="49"/>
        <v/>
      </c>
      <c r="S296" s="5" t="str">
        <f t="shared" si="50"/>
        <v/>
      </c>
      <c r="T296" s="11"/>
      <c r="U296" s="8" t="str">
        <f>IF(OR(VedAarnaSKUMaster[[#This Row],[Selling Price]]="",VedAarnaSKUMaster[[#This Row],[Selling Price]]=0),"",CEILING(VedAarnaSKUMaster[[#This Row],[Selling Price]]/(1-20%),100)-1)</f>
        <v/>
      </c>
      <c r="V296">
        <f t="shared" si="60"/>
        <v>0</v>
      </c>
      <c r="W296" s="8"/>
      <c r="Z296" s="6" t="str">
        <f t="shared" si="51"/>
        <v/>
      </c>
      <c r="AA296" s="6" t="str">
        <f t="shared" si="52"/>
        <v/>
      </c>
      <c r="AB296" s="6" t="str">
        <f t="shared" si="53"/>
        <v/>
      </c>
      <c r="AC296" s="6" t="str">
        <f t="shared" si="54"/>
        <v/>
      </c>
      <c r="AD296" s="6" t="str">
        <f t="shared" si="55"/>
        <v/>
      </c>
      <c r="AE296" s="6" t="str">
        <f t="shared" si="56"/>
        <v/>
      </c>
      <c r="AF296" s="6" t="str">
        <f t="shared" si="57"/>
        <v/>
      </c>
      <c r="AG296" s="6" t="str">
        <f t="shared" si="58"/>
        <v/>
      </c>
      <c r="AH296" s="6" t="str">
        <f t="shared" si="59"/>
        <v/>
      </c>
    </row>
    <row r="297" spans="1:34">
      <c r="A297" s="9"/>
      <c r="C297" s="4" t="str">
        <f>IFERROR(VLOOKUP(B297,'Code Lists'!$A:$B,2,FALSE),"")</f>
        <v/>
      </c>
      <c r="F297" s="4" t="str">
        <f>IFERROR(VLOOKUP(E297,'Code Lists'!$D:$E,2,FALSE),"")</f>
        <v/>
      </c>
      <c r="H297" s="4" t="str">
        <f>IFERROR(VLOOKUP(G297,'Code Lists'!$G:$H,2,FALSE),"")</f>
        <v/>
      </c>
      <c r="J297" s="10"/>
      <c r="M297" s="11"/>
      <c r="Q297" s="7" t="str">
        <f>IF(VedAarnaSKUMaster[[#This Row],[HSN/SAC Code]]=998822,5%,IF(VedAarnaSKUMaster[[#This Row],[HSN/SAC Code]]=998391,18%,IF(VedAarnaSKUMaster[[#This Row],[HSN/SAC Code]]=998723,5%,"")))</f>
        <v/>
      </c>
      <c r="R297" s="5" t="str">
        <f t="shared" si="49"/>
        <v/>
      </c>
      <c r="S297" s="5" t="str">
        <f t="shared" si="50"/>
        <v/>
      </c>
      <c r="T297" s="11"/>
      <c r="U297" s="8" t="str">
        <f>IF(OR(VedAarnaSKUMaster[[#This Row],[Selling Price]]="",VedAarnaSKUMaster[[#This Row],[Selling Price]]=0),"",CEILING(VedAarnaSKUMaster[[#This Row],[Selling Price]]/(1-20%),100)-1)</f>
        <v/>
      </c>
      <c r="V297">
        <f t="shared" si="60"/>
        <v>0</v>
      </c>
      <c r="W297" s="8"/>
      <c r="Z297" s="6" t="str">
        <f t="shared" si="51"/>
        <v/>
      </c>
      <c r="AA297" s="6" t="str">
        <f t="shared" si="52"/>
        <v/>
      </c>
      <c r="AB297" s="6" t="str">
        <f t="shared" si="53"/>
        <v/>
      </c>
      <c r="AC297" s="6" t="str">
        <f t="shared" si="54"/>
        <v/>
      </c>
      <c r="AD297" s="6" t="str">
        <f t="shared" si="55"/>
        <v/>
      </c>
      <c r="AE297" s="6" t="str">
        <f t="shared" si="56"/>
        <v/>
      </c>
      <c r="AF297" s="6" t="str">
        <f t="shared" si="57"/>
        <v/>
      </c>
      <c r="AG297" s="6" t="str">
        <f t="shared" si="58"/>
        <v/>
      </c>
      <c r="AH297" s="6" t="str">
        <f t="shared" si="59"/>
        <v/>
      </c>
    </row>
    <row r="298" spans="1:34">
      <c r="A298" s="9"/>
      <c r="C298" s="4" t="str">
        <f>IFERROR(VLOOKUP(B298,'Code Lists'!$A:$B,2,FALSE),"")</f>
        <v/>
      </c>
      <c r="F298" s="4" t="str">
        <f>IFERROR(VLOOKUP(E298,'Code Lists'!$D:$E,2,FALSE),"")</f>
        <v/>
      </c>
      <c r="H298" s="4" t="str">
        <f>IFERROR(VLOOKUP(G298,'Code Lists'!$G:$H,2,FALSE),"")</f>
        <v/>
      </c>
      <c r="J298" s="10"/>
      <c r="M298" s="11"/>
      <c r="Q298" s="7" t="str">
        <f>IF(VedAarnaSKUMaster[[#This Row],[HSN/SAC Code]]=998822,5%,IF(VedAarnaSKUMaster[[#This Row],[HSN/SAC Code]]=998391,18%,IF(VedAarnaSKUMaster[[#This Row],[HSN/SAC Code]]=998723,5%,"")))</f>
        <v/>
      </c>
      <c r="R298" s="5" t="str">
        <f t="shared" si="49"/>
        <v/>
      </c>
      <c r="S298" s="5" t="str">
        <f t="shared" si="50"/>
        <v/>
      </c>
      <c r="T298" s="11"/>
      <c r="U298" s="8" t="str">
        <f>IF(OR(VedAarnaSKUMaster[[#This Row],[Selling Price]]="",VedAarnaSKUMaster[[#This Row],[Selling Price]]=0),"",CEILING(VedAarnaSKUMaster[[#This Row],[Selling Price]]/(1-20%),100)-1)</f>
        <v/>
      </c>
      <c r="V298">
        <f t="shared" si="60"/>
        <v>0</v>
      </c>
      <c r="W298" s="8"/>
      <c r="Z298" s="6" t="str">
        <f t="shared" si="51"/>
        <v/>
      </c>
      <c r="AA298" s="6" t="str">
        <f t="shared" si="52"/>
        <v/>
      </c>
      <c r="AB298" s="6" t="str">
        <f t="shared" si="53"/>
        <v/>
      </c>
      <c r="AC298" s="6" t="str">
        <f t="shared" si="54"/>
        <v/>
      </c>
      <c r="AD298" s="6" t="str">
        <f t="shared" si="55"/>
        <v/>
      </c>
      <c r="AE298" s="6" t="str">
        <f t="shared" si="56"/>
        <v/>
      </c>
      <c r="AF298" s="6" t="str">
        <f t="shared" si="57"/>
        <v/>
      </c>
      <c r="AG298" s="6" t="str">
        <f t="shared" si="58"/>
        <v/>
      </c>
      <c r="AH298" s="6" t="str">
        <f t="shared" si="59"/>
        <v/>
      </c>
    </row>
    <row r="299" spans="1:34">
      <c r="A299" s="9"/>
      <c r="C299" s="4" t="str">
        <f>IFERROR(VLOOKUP(B299,'Code Lists'!$A:$B,2,FALSE),"")</f>
        <v/>
      </c>
      <c r="F299" s="4" t="str">
        <f>IFERROR(VLOOKUP(E299,'Code Lists'!$D:$E,2,FALSE),"")</f>
        <v/>
      </c>
      <c r="H299" s="4" t="str">
        <f>IFERROR(VLOOKUP(G299,'Code Lists'!$G:$H,2,FALSE),"")</f>
        <v/>
      </c>
      <c r="J299" s="10"/>
      <c r="M299" s="11"/>
      <c r="Q299" s="7" t="str">
        <f>IF(VedAarnaSKUMaster[[#This Row],[HSN/SAC Code]]=998822,5%,IF(VedAarnaSKUMaster[[#This Row],[HSN/SAC Code]]=998391,18%,IF(VedAarnaSKUMaster[[#This Row],[HSN/SAC Code]]=998723,5%,"")))</f>
        <v/>
      </c>
      <c r="R299" s="5" t="str">
        <f t="shared" si="49"/>
        <v/>
      </c>
      <c r="S299" s="5" t="str">
        <f t="shared" si="50"/>
        <v/>
      </c>
      <c r="T299" s="11"/>
      <c r="U299" s="8" t="str">
        <f>IF(OR(VedAarnaSKUMaster[[#This Row],[Selling Price]]="",VedAarnaSKUMaster[[#This Row],[Selling Price]]=0),"",CEILING(VedAarnaSKUMaster[[#This Row],[Selling Price]]/(1-20%),100)-1)</f>
        <v/>
      </c>
      <c r="V299">
        <f t="shared" si="60"/>
        <v>0</v>
      </c>
      <c r="W299" s="8"/>
      <c r="Z299" s="6" t="str">
        <f t="shared" si="51"/>
        <v/>
      </c>
      <c r="AA299" s="6" t="str">
        <f t="shared" si="52"/>
        <v/>
      </c>
      <c r="AB299" s="6" t="str">
        <f t="shared" si="53"/>
        <v/>
      </c>
      <c r="AC299" s="6" t="str">
        <f t="shared" si="54"/>
        <v/>
      </c>
      <c r="AD299" s="6" t="str">
        <f t="shared" si="55"/>
        <v/>
      </c>
      <c r="AE299" s="6" t="str">
        <f t="shared" si="56"/>
        <v/>
      </c>
      <c r="AF299" s="6" t="str">
        <f t="shared" si="57"/>
        <v/>
      </c>
      <c r="AG299" s="6" t="str">
        <f t="shared" si="58"/>
        <v/>
      </c>
      <c r="AH299" s="6" t="str">
        <f t="shared" si="59"/>
        <v/>
      </c>
    </row>
    <row r="300" spans="1:34">
      <c r="A300" s="9"/>
      <c r="C300" s="4" t="str">
        <f>IFERROR(VLOOKUP(B300,'Code Lists'!$A:$B,2,FALSE),"")</f>
        <v/>
      </c>
      <c r="F300" s="4" t="str">
        <f>IFERROR(VLOOKUP(E300,'Code Lists'!$D:$E,2,FALSE),"")</f>
        <v/>
      </c>
      <c r="H300" s="4" t="str">
        <f>IFERROR(VLOOKUP(G300,'Code Lists'!$G:$H,2,FALSE),"")</f>
        <v/>
      </c>
      <c r="J300" s="10"/>
      <c r="M300" s="11"/>
      <c r="Q300" s="7" t="str">
        <f>IF(VedAarnaSKUMaster[[#This Row],[HSN/SAC Code]]=998822,5%,IF(VedAarnaSKUMaster[[#This Row],[HSN/SAC Code]]=998391,18%,IF(VedAarnaSKUMaster[[#This Row],[HSN/SAC Code]]=998723,5%,"")))</f>
        <v/>
      </c>
      <c r="R300" s="5" t="str">
        <f t="shared" si="49"/>
        <v/>
      </c>
      <c r="S300" s="5" t="str">
        <f t="shared" si="50"/>
        <v/>
      </c>
      <c r="T300" s="11"/>
      <c r="U300" s="8" t="str">
        <f>IF(OR(VedAarnaSKUMaster[[#This Row],[Selling Price]]="",VedAarnaSKUMaster[[#This Row],[Selling Price]]=0),"",CEILING(VedAarnaSKUMaster[[#This Row],[Selling Price]]/(1-20%),100)-1)</f>
        <v/>
      </c>
      <c r="V300">
        <f t="shared" si="60"/>
        <v>0</v>
      </c>
      <c r="W300" s="8"/>
      <c r="Z300" s="6" t="str">
        <f t="shared" si="51"/>
        <v/>
      </c>
      <c r="AA300" s="6" t="str">
        <f t="shared" si="52"/>
        <v/>
      </c>
      <c r="AB300" s="6" t="str">
        <f t="shared" si="53"/>
        <v/>
      </c>
      <c r="AC300" s="6" t="str">
        <f t="shared" si="54"/>
        <v/>
      </c>
      <c r="AD300" s="6" t="str">
        <f t="shared" si="55"/>
        <v/>
      </c>
      <c r="AE300" s="6" t="str">
        <f t="shared" si="56"/>
        <v/>
      </c>
      <c r="AF300" s="6" t="str">
        <f t="shared" si="57"/>
        <v/>
      </c>
      <c r="AG300" s="6" t="str">
        <f t="shared" si="58"/>
        <v/>
      </c>
      <c r="AH300" s="6" t="str">
        <f t="shared" si="59"/>
        <v/>
      </c>
    </row>
    <row r="301" spans="1:34">
      <c r="A301" s="9"/>
      <c r="C301" s="4" t="str">
        <f>IFERROR(VLOOKUP(B301,'Code Lists'!$A:$B,2,FALSE),"")</f>
        <v/>
      </c>
      <c r="F301" s="4" t="str">
        <f>IFERROR(VLOOKUP(E301,'Code Lists'!$D:$E,2,FALSE),"")</f>
        <v/>
      </c>
      <c r="H301" s="4" t="str">
        <f>IFERROR(VLOOKUP(G301,'Code Lists'!$G:$H,2,FALSE),"")</f>
        <v/>
      </c>
      <c r="J301" s="10"/>
      <c r="M301" s="11"/>
      <c r="Q301" s="7" t="str">
        <f>IF(VedAarnaSKUMaster[[#This Row],[HSN/SAC Code]]=998822,5%,IF(VedAarnaSKUMaster[[#This Row],[HSN/SAC Code]]=998391,18%,IF(VedAarnaSKUMaster[[#This Row],[HSN/SAC Code]]=998723,5%,"")))</f>
        <v/>
      </c>
      <c r="R301" s="5" t="str">
        <f t="shared" si="49"/>
        <v/>
      </c>
      <c r="S301" s="5" t="str">
        <f t="shared" si="50"/>
        <v/>
      </c>
      <c r="T301" s="11"/>
      <c r="U301" s="8" t="str">
        <f>IF(OR(VedAarnaSKUMaster[[#This Row],[Selling Price]]="",VedAarnaSKUMaster[[#This Row],[Selling Price]]=0),"",CEILING(VedAarnaSKUMaster[[#This Row],[Selling Price]]/(1-20%),100)-1)</f>
        <v/>
      </c>
      <c r="V301">
        <f t="shared" si="60"/>
        <v>0</v>
      </c>
      <c r="W301" s="8"/>
      <c r="Z301" s="6" t="str">
        <f t="shared" si="51"/>
        <v/>
      </c>
      <c r="AA301" s="6" t="str">
        <f t="shared" si="52"/>
        <v/>
      </c>
      <c r="AB301" s="6" t="str">
        <f t="shared" si="53"/>
        <v/>
      </c>
      <c r="AC301" s="6" t="str">
        <f t="shared" si="54"/>
        <v/>
      </c>
      <c r="AD301" s="6" t="str">
        <f t="shared" si="55"/>
        <v/>
      </c>
      <c r="AE301" s="6" t="str">
        <f t="shared" si="56"/>
        <v/>
      </c>
      <c r="AF301" s="6" t="str">
        <f t="shared" si="57"/>
        <v/>
      </c>
      <c r="AG301" s="6" t="str">
        <f t="shared" si="58"/>
        <v/>
      </c>
      <c r="AH301" s="6" t="str">
        <f t="shared" si="59"/>
        <v/>
      </c>
    </row>
    <row r="302" spans="1:34">
      <c r="A302" s="9"/>
      <c r="C302" s="4" t="str">
        <f>IFERROR(VLOOKUP(B302,'Code Lists'!$A:$B,2,FALSE),"")</f>
        <v/>
      </c>
      <c r="F302" s="4" t="str">
        <f>IFERROR(VLOOKUP(E302,'Code Lists'!$D:$E,2,FALSE),"")</f>
        <v/>
      </c>
      <c r="H302" s="4" t="str">
        <f>IFERROR(VLOOKUP(G302,'Code Lists'!$G:$H,2,FALSE),"")</f>
        <v/>
      </c>
      <c r="J302" s="10"/>
      <c r="M302" s="11"/>
      <c r="Q302" s="7" t="str">
        <f>IF(VedAarnaSKUMaster[[#This Row],[HSN/SAC Code]]=998822,5%,IF(VedAarnaSKUMaster[[#This Row],[HSN/SAC Code]]=998391,18%,IF(VedAarnaSKUMaster[[#This Row],[HSN/SAC Code]]=998723,5%,"")))</f>
        <v/>
      </c>
      <c r="R302" s="5" t="str">
        <f t="shared" si="49"/>
        <v/>
      </c>
      <c r="S302" s="5" t="str">
        <f t="shared" si="50"/>
        <v/>
      </c>
      <c r="T302" s="11"/>
      <c r="U302" s="8" t="str">
        <f>IF(OR(VedAarnaSKUMaster[[#This Row],[Selling Price]]="",VedAarnaSKUMaster[[#This Row],[Selling Price]]=0),"",CEILING(VedAarnaSKUMaster[[#This Row],[Selling Price]]/(1-20%),100)-1)</f>
        <v/>
      </c>
      <c r="V302">
        <f t="shared" si="60"/>
        <v>0</v>
      </c>
      <c r="W302" s="8"/>
      <c r="Z302" s="6" t="str">
        <f t="shared" si="51"/>
        <v/>
      </c>
      <c r="AA302" s="6" t="str">
        <f t="shared" si="52"/>
        <v/>
      </c>
      <c r="AB302" s="6" t="str">
        <f t="shared" si="53"/>
        <v/>
      </c>
      <c r="AC302" s="6" t="str">
        <f t="shared" si="54"/>
        <v/>
      </c>
      <c r="AD302" s="6" t="str">
        <f t="shared" si="55"/>
        <v/>
      </c>
      <c r="AE302" s="6" t="str">
        <f t="shared" si="56"/>
        <v/>
      </c>
      <c r="AF302" s="6" t="str">
        <f t="shared" si="57"/>
        <v/>
      </c>
      <c r="AG302" s="6" t="str">
        <f t="shared" si="58"/>
        <v/>
      </c>
      <c r="AH302" s="6" t="str">
        <f t="shared" si="59"/>
        <v/>
      </c>
    </row>
    <row r="303" spans="1:34">
      <c r="A303" s="9"/>
      <c r="C303" s="4" t="str">
        <f>IFERROR(VLOOKUP(B303,'Code Lists'!$A:$B,2,FALSE),"")</f>
        <v/>
      </c>
      <c r="F303" s="4" t="str">
        <f>IFERROR(VLOOKUP(E303,'Code Lists'!$D:$E,2,FALSE),"")</f>
        <v/>
      </c>
      <c r="H303" s="4" t="str">
        <f>IFERROR(VLOOKUP(G303,'Code Lists'!$G:$H,2,FALSE),"")</f>
        <v/>
      </c>
      <c r="J303" s="10"/>
      <c r="M303" s="11"/>
      <c r="Q303" s="7" t="str">
        <f>IF(VedAarnaSKUMaster[[#This Row],[HSN/SAC Code]]=998822,5%,IF(VedAarnaSKUMaster[[#This Row],[HSN/SAC Code]]=998391,18%,IF(VedAarnaSKUMaster[[#This Row],[HSN/SAC Code]]=998723,5%,"")))</f>
        <v/>
      </c>
      <c r="R303" s="5" t="str">
        <f t="shared" si="49"/>
        <v/>
      </c>
      <c r="S303" s="5" t="str">
        <f t="shared" si="50"/>
        <v/>
      </c>
      <c r="T303" s="11"/>
      <c r="U303" s="8" t="str">
        <f>IF(OR(VedAarnaSKUMaster[[#This Row],[Selling Price]]="",VedAarnaSKUMaster[[#This Row],[Selling Price]]=0),"",CEILING(VedAarnaSKUMaster[[#This Row],[Selling Price]]/(1-20%),100)-1)</f>
        <v/>
      </c>
      <c r="V303">
        <f t="shared" si="60"/>
        <v>0</v>
      </c>
      <c r="W303" s="8"/>
      <c r="Z303" s="6" t="str">
        <f t="shared" si="51"/>
        <v/>
      </c>
      <c r="AA303" s="6" t="str">
        <f t="shared" si="52"/>
        <v/>
      </c>
      <c r="AB303" s="6" t="str">
        <f t="shared" si="53"/>
        <v/>
      </c>
      <c r="AC303" s="6" t="str">
        <f t="shared" si="54"/>
        <v/>
      </c>
      <c r="AD303" s="6" t="str">
        <f t="shared" si="55"/>
        <v/>
      </c>
      <c r="AE303" s="6" t="str">
        <f t="shared" si="56"/>
        <v/>
      </c>
      <c r="AF303" s="6" t="str">
        <f t="shared" si="57"/>
        <v/>
      </c>
      <c r="AG303" s="6" t="str">
        <f t="shared" si="58"/>
        <v/>
      </c>
      <c r="AH303" s="6" t="str">
        <f t="shared" si="59"/>
        <v/>
      </c>
    </row>
    <row r="304" spans="1:34">
      <c r="A304" s="9"/>
      <c r="C304" s="4" t="str">
        <f>IFERROR(VLOOKUP(B304,'Code Lists'!$A:$B,2,FALSE),"")</f>
        <v/>
      </c>
      <c r="F304" s="4" t="str">
        <f>IFERROR(VLOOKUP(E304,'Code Lists'!$D:$E,2,FALSE),"")</f>
        <v/>
      </c>
      <c r="H304" s="4" t="str">
        <f>IFERROR(VLOOKUP(G304,'Code Lists'!$G:$H,2,FALSE),"")</f>
        <v/>
      </c>
      <c r="J304" s="10"/>
      <c r="M304" s="11"/>
      <c r="Q304" s="7" t="str">
        <f>IF(VedAarnaSKUMaster[[#This Row],[HSN/SAC Code]]=998822,5%,IF(VedAarnaSKUMaster[[#This Row],[HSN/SAC Code]]=998391,18%,IF(VedAarnaSKUMaster[[#This Row],[HSN/SAC Code]]=998723,5%,"")))</f>
        <v/>
      </c>
      <c r="R304" s="5" t="str">
        <f t="shared" si="49"/>
        <v/>
      </c>
      <c r="S304" s="5" t="str">
        <f t="shared" si="50"/>
        <v/>
      </c>
      <c r="T304" s="11"/>
      <c r="U304" s="8" t="str">
        <f>IF(OR(VedAarnaSKUMaster[[#This Row],[Selling Price]]="",VedAarnaSKUMaster[[#This Row],[Selling Price]]=0),"",CEILING(VedAarnaSKUMaster[[#This Row],[Selling Price]]/(1-20%),100)-1)</f>
        <v/>
      </c>
      <c r="V304">
        <f t="shared" si="60"/>
        <v>0</v>
      </c>
      <c r="W304" s="8"/>
      <c r="Z304" s="6" t="str">
        <f t="shared" si="51"/>
        <v/>
      </c>
      <c r="AA304" s="6" t="str">
        <f t="shared" si="52"/>
        <v/>
      </c>
      <c r="AB304" s="6" t="str">
        <f t="shared" si="53"/>
        <v/>
      </c>
      <c r="AC304" s="6" t="str">
        <f t="shared" si="54"/>
        <v/>
      </c>
      <c r="AD304" s="6" t="str">
        <f t="shared" si="55"/>
        <v/>
      </c>
      <c r="AE304" s="6" t="str">
        <f t="shared" si="56"/>
        <v/>
      </c>
      <c r="AF304" s="6" t="str">
        <f t="shared" si="57"/>
        <v/>
      </c>
      <c r="AG304" s="6" t="str">
        <f t="shared" si="58"/>
        <v/>
      </c>
      <c r="AH304" s="6" t="str">
        <f t="shared" si="59"/>
        <v/>
      </c>
    </row>
    <row r="305" spans="1:34">
      <c r="A305" s="9"/>
      <c r="C305" s="4" t="str">
        <f>IFERROR(VLOOKUP(B305,'Code Lists'!$A:$B,2,FALSE),"")</f>
        <v/>
      </c>
      <c r="F305" s="4" t="str">
        <f>IFERROR(VLOOKUP(E305,'Code Lists'!$D:$E,2,FALSE),"")</f>
        <v/>
      </c>
      <c r="H305" s="4" t="str">
        <f>IFERROR(VLOOKUP(G305,'Code Lists'!$G:$H,2,FALSE),"")</f>
        <v/>
      </c>
      <c r="J305" s="10"/>
      <c r="M305" s="11"/>
      <c r="Q305" s="7" t="str">
        <f>IF(VedAarnaSKUMaster[[#This Row],[HSN/SAC Code]]=998822,5%,IF(VedAarnaSKUMaster[[#This Row],[HSN/SAC Code]]=998391,18%,IF(VedAarnaSKUMaster[[#This Row],[HSN/SAC Code]]=998723,5%,"")))</f>
        <v/>
      </c>
      <c r="R305" s="5" t="str">
        <f t="shared" si="49"/>
        <v/>
      </c>
      <c r="S305" s="5" t="str">
        <f t="shared" si="50"/>
        <v/>
      </c>
      <c r="T305" s="11"/>
      <c r="U305" s="8" t="str">
        <f>IF(OR(VedAarnaSKUMaster[[#This Row],[Selling Price]]="",VedAarnaSKUMaster[[#This Row],[Selling Price]]=0),"",CEILING(VedAarnaSKUMaster[[#This Row],[Selling Price]]/(1-20%),100)-1)</f>
        <v/>
      </c>
      <c r="V305">
        <f t="shared" si="60"/>
        <v>0</v>
      </c>
      <c r="W305" s="8"/>
      <c r="Z305" s="6" t="str">
        <f t="shared" si="51"/>
        <v/>
      </c>
      <c r="AA305" s="6" t="str">
        <f t="shared" si="52"/>
        <v/>
      </c>
      <c r="AB305" s="6" t="str">
        <f t="shared" si="53"/>
        <v/>
      </c>
      <c r="AC305" s="6" t="str">
        <f t="shared" si="54"/>
        <v/>
      </c>
      <c r="AD305" s="6" t="str">
        <f t="shared" si="55"/>
        <v/>
      </c>
      <c r="AE305" s="6" t="str">
        <f t="shared" si="56"/>
        <v/>
      </c>
      <c r="AF305" s="6" t="str">
        <f t="shared" si="57"/>
        <v/>
      </c>
      <c r="AG305" s="6" t="str">
        <f t="shared" si="58"/>
        <v/>
      </c>
      <c r="AH305" s="6" t="str">
        <f t="shared" si="59"/>
        <v/>
      </c>
    </row>
    <row r="306" spans="1:34">
      <c r="A306" s="9"/>
      <c r="C306" s="4" t="str">
        <f>IFERROR(VLOOKUP(B306,'Code Lists'!$A:$B,2,FALSE),"")</f>
        <v/>
      </c>
      <c r="F306" s="4" t="str">
        <f>IFERROR(VLOOKUP(E306,'Code Lists'!$D:$E,2,FALSE),"")</f>
        <v/>
      </c>
      <c r="H306" s="4" t="str">
        <f>IFERROR(VLOOKUP(G306,'Code Lists'!$G:$H,2,FALSE),"")</f>
        <v/>
      </c>
      <c r="J306" s="10"/>
      <c r="M306" s="11"/>
      <c r="Q306" s="7" t="str">
        <f>IF(VedAarnaSKUMaster[[#This Row],[HSN/SAC Code]]=998822,5%,IF(VedAarnaSKUMaster[[#This Row],[HSN/SAC Code]]=998391,18%,IF(VedAarnaSKUMaster[[#This Row],[HSN/SAC Code]]=998723,5%,"")))</f>
        <v/>
      </c>
      <c r="R306" s="5" t="str">
        <f t="shared" si="49"/>
        <v/>
      </c>
      <c r="S306" s="5" t="str">
        <f t="shared" si="50"/>
        <v/>
      </c>
      <c r="T306" s="11"/>
      <c r="U306" s="8" t="str">
        <f>IF(OR(VedAarnaSKUMaster[[#This Row],[Selling Price]]="",VedAarnaSKUMaster[[#This Row],[Selling Price]]=0),"",CEILING(VedAarnaSKUMaster[[#This Row],[Selling Price]]/(1-20%),100)-1)</f>
        <v/>
      </c>
      <c r="V306">
        <f t="shared" si="60"/>
        <v>0</v>
      </c>
      <c r="W306" s="8"/>
      <c r="Z306" s="6" t="str">
        <f t="shared" si="51"/>
        <v/>
      </c>
      <c r="AA306" s="6" t="str">
        <f t="shared" si="52"/>
        <v/>
      </c>
      <c r="AB306" s="6" t="str">
        <f t="shared" si="53"/>
        <v/>
      </c>
      <c r="AC306" s="6" t="str">
        <f t="shared" si="54"/>
        <v/>
      </c>
      <c r="AD306" s="6" t="str">
        <f t="shared" si="55"/>
        <v/>
      </c>
      <c r="AE306" s="6" t="str">
        <f t="shared" si="56"/>
        <v/>
      </c>
      <c r="AF306" s="6" t="str">
        <f t="shared" si="57"/>
        <v/>
      </c>
      <c r="AG306" s="6" t="str">
        <f t="shared" si="58"/>
        <v/>
      </c>
      <c r="AH306" s="6" t="str">
        <f t="shared" si="59"/>
        <v/>
      </c>
    </row>
    <row r="307" spans="1:34">
      <c r="A307" s="9"/>
      <c r="C307" s="4" t="str">
        <f>IFERROR(VLOOKUP(B307,'Code Lists'!$A:$B,2,FALSE),"")</f>
        <v/>
      </c>
      <c r="F307" s="4" t="str">
        <f>IFERROR(VLOOKUP(E307,'Code Lists'!$D:$E,2,FALSE),"")</f>
        <v/>
      </c>
      <c r="H307" s="4" t="str">
        <f>IFERROR(VLOOKUP(G307,'Code Lists'!$G:$H,2,FALSE),"")</f>
        <v/>
      </c>
      <c r="J307" s="10"/>
      <c r="M307" s="11"/>
      <c r="Q307" s="7" t="str">
        <f>IF(VedAarnaSKUMaster[[#This Row],[HSN/SAC Code]]=998822,5%,IF(VedAarnaSKUMaster[[#This Row],[HSN/SAC Code]]=998391,18%,IF(VedAarnaSKUMaster[[#This Row],[HSN/SAC Code]]=998723,5%,"")))</f>
        <v/>
      </c>
      <c r="R307" s="5" t="str">
        <f t="shared" si="49"/>
        <v/>
      </c>
      <c r="S307" s="5" t="str">
        <f t="shared" si="50"/>
        <v/>
      </c>
      <c r="T307" s="11"/>
      <c r="U307" s="8" t="str">
        <f>IF(OR(VedAarnaSKUMaster[[#This Row],[Selling Price]]="",VedAarnaSKUMaster[[#This Row],[Selling Price]]=0),"",CEILING(VedAarnaSKUMaster[[#This Row],[Selling Price]]/(1-20%),100)-1)</f>
        <v/>
      </c>
      <c r="V307">
        <f t="shared" si="60"/>
        <v>0</v>
      </c>
      <c r="W307" s="8"/>
      <c r="Z307" s="6" t="str">
        <f t="shared" si="51"/>
        <v/>
      </c>
      <c r="AA307" s="6" t="str">
        <f t="shared" si="52"/>
        <v/>
      </c>
      <c r="AB307" s="6" t="str">
        <f t="shared" si="53"/>
        <v/>
      </c>
      <c r="AC307" s="6" t="str">
        <f t="shared" si="54"/>
        <v/>
      </c>
      <c r="AD307" s="6" t="str">
        <f t="shared" si="55"/>
        <v/>
      </c>
      <c r="AE307" s="6" t="str">
        <f t="shared" si="56"/>
        <v/>
      </c>
      <c r="AF307" s="6" t="str">
        <f t="shared" si="57"/>
        <v/>
      </c>
      <c r="AG307" s="6" t="str">
        <f t="shared" si="58"/>
        <v/>
      </c>
      <c r="AH307" s="6" t="str">
        <f t="shared" si="59"/>
        <v/>
      </c>
    </row>
    <row r="308" spans="1:34">
      <c r="A308" s="9"/>
      <c r="C308" s="4" t="str">
        <f>IFERROR(VLOOKUP(B308,'Code Lists'!$A:$B,2,FALSE),"")</f>
        <v/>
      </c>
      <c r="F308" s="4" t="str">
        <f>IFERROR(VLOOKUP(E308,'Code Lists'!$D:$E,2,FALSE),"")</f>
        <v/>
      </c>
      <c r="H308" s="4" t="str">
        <f>IFERROR(VLOOKUP(G308,'Code Lists'!$G:$H,2,FALSE),"")</f>
        <v/>
      </c>
      <c r="J308" s="10"/>
      <c r="M308" s="11"/>
      <c r="Q308" s="7" t="str">
        <f>IF(VedAarnaSKUMaster[[#This Row],[HSN/SAC Code]]=998822,5%,IF(VedAarnaSKUMaster[[#This Row],[HSN/SAC Code]]=998391,18%,IF(VedAarnaSKUMaster[[#This Row],[HSN/SAC Code]]=998723,5%,"")))</f>
        <v/>
      </c>
      <c r="R308" s="5" t="str">
        <f t="shared" si="49"/>
        <v/>
      </c>
      <c r="S308" s="5" t="str">
        <f t="shared" si="50"/>
        <v/>
      </c>
      <c r="T308" s="11"/>
      <c r="U308" s="8" t="str">
        <f>IF(OR(VedAarnaSKUMaster[[#This Row],[Selling Price]]="",VedAarnaSKUMaster[[#This Row],[Selling Price]]=0),"",CEILING(VedAarnaSKUMaster[[#This Row],[Selling Price]]/(1-20%),100)-1)</f>
        <v/>
      </c>
      <c r="V308">
        <f t="shared" si="60"/>
        <v>0</v>
      </c>
      <c r="W308" s="8"/>
      <c r="Z308" s="6" t="str">
        <f t="shared" si="51"/>
        <v/>
      </c>
      <c r="AA308" s="6" t="str">
        <f t="shared" si="52"/>
        <v/>
      </c>
      <c r="AB308" s="6" t="str">
        <f t="shared" si="53"/>
        <v/>
      </c>
      <c r="AC308" s="6" t="str">
        <f t="shared" si="54"/>
        <v/>
      </c>
      <c r="AD308" s="6" t="str">
        <f t="shared" si="55"/>
        <v/>
      </c>
      <c r="AE308" s="6" t="str">
        <f t="shared" si="56"/>
        <v/>
      </c>
      <c r="AF308" s="6" t="str">
        <f t="shared" si="57"/>
        <v/>
      </c>
      <c r="AG308" s="6" t="str">
        <f t="shared" si="58"/>
        <v/>
      </c>
      <c r="AH308" s="6" t="str">
        <f t="shared" si="59"/>
        <v/>
      </c>
    </row>
    <row r="309" spans="1:34">
      <c r="A309" s="9"/>
      <c r="C309" s="4" t="str">
        <f>IFERROR(VLOOKUP(B309,'Code Lists'!$A:$B,2,FALSE),"")</f>
        <v/>
      </c>
      <c r="F309" s="4" t="str">
        <f>IFERROR(VLOOKUP(E309,'Code Lists'!$D:$E,2,FALSE),"")</f>
        <v/>
      </c>
      <c r="H309" s="4" t="str">
        <f>IFERROR(VLOOKUP(G309,'Code Lists'!$G:$H,2,FALSE),"")</f>
        <v/>
      </c>
      <c r="J309" s="10"/>
      <c r="M309" s="11"/>
      <c r="Q309" s="7" t="str">
        <f>IF(VedAarnaSKUMaster[[#This Row],[HSN/SAC Code]]=998822,5%,IF(VedAarnaSKUMaster[[#This Row],[HSN/SAC Code]]=998391,18%,IF(VedAarnaSKUMaster[[#This Row],[HSN/SAC Code]]=998723,5%,"")))</f>
        <v/>
      </c>
      <c r="R309" s="5" t="str">
        <f t="shared" si="49"/>
        <v/>
      </c>
      <c r="S309" s="5" t="str">
        <f t="shared" si="50"/>
        <v/>
      </c>
      <c r="T309" s="11"/>
      <c r="U309" s="8" t="str">
        <f>IF(OR(VedAarnaSKUMaster[[#This Row],[Selling Price]]="",VedAarnaSKUMaster[[#This Row],[Selling Price]]=0),"",CEILING(VedAarnaSKUMaster[[#This Row],[Selling Price]]/(1-20%),100)-1)</f>
        <v/>
      </c>
      <c r="V309">
        <f t="shared" si="60"/>
        <v>0</v>
      </c>
      <c r="W309" s="8"/>
      <c r="Z309" s="6" t="str">
        <f t="shared" si="51"/>
        <v/>
      </c>
      <c r="AA309" s="6" t="str">
        <f t="shared" si="52"/>
        <v/>
      </c>
      <c r="AB309" s="6" t="str">
        <f t="shared" si="53"/>
        <v/>
      </c>
      <c r="AC309" s="6" t="str">
        <f t="shared" si="54"/>
        <v/>
      </c>
      <c r="AD309" s="6" t="str">
        <f t="shared" si="55"/>
        <v/>
      </c>
      <c r="AE309" s="6" t="str">
        <f t="shared" si="56"/>
        <v/>
      </c>
      <c r="AF309" s="6" t="str">
        <f t="shared" si="57"/>
        <v/>
      </c>
      <c r="AG309" s="6" t="str">
        <f t="shared" si="58"/>
        <v/>
      </c>
      <c r="AH309" s="6" t="str">
        <f t="shared" si="59"/>
        <v/>
      </c>
    </row>
    <row r="310" spans="1:34">
      <c r="A310" s="9"/>
      <c r="C310" s="4" t="str">
        <f>IFERROR(VLOOKUP(B310,'Code Lists'!$A:$B,2,FALSE),"")</f>
        <v/>
      </c>
      <c r="F310" s="4" t="str">
        <f>IFERROR(VLOOKUP(E310,'Code Lists'!$D:$E,2,FALSE),"")</f>
        <v/>
      </c>
      <c r="H310" s="4" t="str">
        <f>IFERROR(VLOOKUP(G310,'Code Lists'!$G:$H,2,FALSE),"")</f>
        <v/>
      </c>
      <c r="J310" s="10"/>
      <c r="M310" s="11"/>
      <c r="Q310" s="7" t="str">
        <f>IF(VedAarnaSKUMaster[[#This Row],[HSN/SAC Code]]=998822,5%,IF(VedAarnaSKUMaster[[#This Row],[HSN/SAC Code]]=998391,18%,IF(VedAarnaSKUMaster[[#This Row],[HSN/SAC Code]]=998723,5%,"")))</f>
        <v/>
      </c>
      <c r="R310" s="5" t="str">
        <f t="shared" si="49"/>
        <v/>
      </c>
      <c r="S310" s="5" t="str">
        <f t="shared" si="50"/>
        <v/>
      </c>
      <c r="T310" s="11"/>
      <c r="U310" s="8" t="str">
        <f>IF(OR(VedAarnaSKUMaster[[#This Row],[Selling Price]]="",VedAarnaSKUMaster[[#This Row],[Selling Price]]=0),"",CEILING(VedAarnaSKUMaster[[#This Row],[Selling Price]]/(1-20%),100)-1)</f>
        <v/>
      </c>
      <c r="V310">
        <f t="shared" si="60"/>
        <v>0</v>
      </c>
      <c r="W310" s="8"/>
      <c r="Z310" s="6" t="str">
        <f t="shared" si="51"/>
        <v/>
      </c>
      <c r="AA310" s="6" t="str">
        <f t="shared" si="52"/>
        <v/>
      </c>
      <c r="AB310" s="6" t="str">
        <f t="shared" si="53"/>
        <v/>
      </c>
      <c r="AC310" s="6" t="str">
        <f t="shared" si="54"/>
        <v/>
      </c>
      <c r="AD310" s="6" t="str">
        <f t="shared" si="55"/>
        <v/>
      </c>
      <c r="AE310" s="6" t="str">
        <f t="shared" si="56"/>
        <v/>
      </c>
      <c r="AF310" s="6" t="str">
        <f t="shared" si="57"/>
        <v/>
      </c>
      <c r="AG310" s="6" t="str">
        <f t="shared" si="58"/>
        <v/>
      </c>
      <c r="AH310" s="6" t="str">
        <f t="shared" si="59"/>
        <v/>
      </c>
    </row>
    <row r="311" spans="1:34">
      <c r="A311" s="9"/>
      <c r="C311" s="4" t="str">
        <f>IFERROR(VLOOKUP(B311,'Code Lists'!$A:$B,2,FALSE),"")</f>
        <v/>
      </c>
      <c r="F311" s="4" t="str">
        <f>IFERROR(VLOOKUP(E311,'Code Lists'!$D:$E,2,FALSE),"")</f>
        <v/>
      </c>
      <c r="H311" s="4" t="str">
        <f>IFERROR(VLOOKUP(G311,'Code Lists'!$G:$H,2,FALSE),"")</f>
        <v/>
      </c>
      <c r="J311" s="10"/>
      <c r="M311" s="11"/>
      <c r="Q311" s="7" t="str">
        <f>IF(VedAarnaSKUMaster[[#This Row],[HSN/SAC Code]]=998822,5%,IF(VedAarnaSKUMaster[[#This Row],[HSN/SAC Code]]=998391,18%,IF(VedAarnaSKUMaster[[#This Row],[HSN/SAC Code]]=998723,5%,"")))</f>
        <v/>
      </c>
      <c r="R311" s="5" t="str">
        <f t="shared" si="49"/>
        <v/>
      </c>
      <c r="S311" s="5" t="str">
        <f t="shared" si="50"/>
        <v/>
      </c>
      <c r="T311" s="11"/>
      <c r="U311" s="8" t="str">
        <f>IF(OR(VedAarnaSKUMaster[[#This Row],[Selling Price]]="",VedAarnaSKUMaster[[#This Row],[Selling Price]]=0),"",CEILING(VedAarnaSKUMaster[[#This Row],[Selling Price]]/(1-20%),100)-1)</f>
        <v/>
      </c>
      <c r="V311">
        <f t="shared" si="60"/>
        <v>0</v>
      </c>
      <c r="W311" s="8"/>
      <c r="Z311" s="6" t="str">
        <f t="shared" si="51"/>
        <v/>
      </c>
      <c r="AA311" s="6" t="str">
        <f t="shared" si="52"/>
        <v/>
      </c>
      <c r="AB311" s="6" t="str">
        <f t="shared" si="53"/>
        <v/>
      </c>
      <c r="AC311" s="6" t="str">
        <f t="shared" si="54"/>
        <v/>
      </c>
      <c r="AD311" s="6" t="str">
        <f t="shared" si="55"/>
        <v/>
      </c>
      <c r="AE311" s="6" t="str">
        <f t="shared" si="56"/>
        <v/>
      </c>
      <c r="AF311" s="6" t="str">
        <f t="shared" si="57"/>
        <v/>
      </c>
      <c r="AG311" s="6" t="str">
        <f t="shared" si="58"/>
        <v/>
      </c>
      <c r="AH311" s="6" t="str">
        <f t="shared" si="59"/>
        <v/>
      </c>
    </row>
    <row r="312" spans="1:34">
      <c r="A312" s="9"/>
      <c r="C312" s="4" t="str">
        <f>IFERROR(VLOOKUP(B312,'Code Lists'!$A:$B,2,FALSE),"")</f>
        <v/>
      </c>
      <c r="F312" s="4" t="str">
        <f>IFERROR(VLOOKUP(E312,'Code Lists'!$D:$E,2,FALSE),"")</f>
        <v/>
      </c>
      <c r="H312" s="4" t="str">
        <f>IFERROR(VLOOKUP(G312,'Code Lists'!$G:$H,2,FALSE),"")</f>
        <v/>
      </c>
      <c r="J312" s="10"/>
      <c r="M312" s="11"/>
      <c r="Q312" s="7" t="str">
        <f>IF(VedAarnaSKUMaster[[#This Row],[HSN/SAC Code]]=998822,5%,IF(VedAarnaSKUMaster[[#This Row],[HSN/SAC Code]]=998391,18%,IF(VedAarnaSKUMaster[[#This Row],[HSN/SAC Code]]=998723,5%,"")))</f>
        <v/>
      </c>
      <c r="R312" s="5" t="str">
        <f t="shared" si="49"/>
        <v/>
      </c>
      <c r="S312" s="5" t="str">
        <f t="shared" si="50"/>
        <v/>
      </c>
      <c r="T312" s="11"/>
      <c r="U312" s="8" t="str">
        <f>IF(OR(VedAarnaSKUMaster[[#This Row],[Selling Price]]="",VedAarnaSKUMaster[[#This Row],[Selling Price]]=0),"",CEILING(VedAarnaSKUMaster[[#This Row],[Selling Price]]/(1-20%),100)-1)</f>
        <v/>
      </c>
      <c r="V312">
        <f t="shared" si="60"/>
        <v>0</v>
      </c>
      <c r="W312" s="8"/>
      <c r="Z312" s="6" t="str">
        <f t="shared" si="51"/>
        <v/>
      </c>
      <c r="AA312" s="6" t="str">
        <f t="shared" si="52"/>
        <v/>
      </c>
      <c r="AB312" s="6" t="str">
        <f t="shared" si="53"/>
        <v/>
      </c>
      <c r="AC312" s="6" t="str">
        <f t="shared" si="54"/>
        <v/>
      </c>
      <c r="AD312" s="6" t="str">
        <f t="shared" si="55"/>
        <v/>
      </c>
      <c r="AE312" s="6" t="str">
        <f t="shared" si="56"/>
        <v/>
      </c>
      <c r="AF312" s="6" t="str">
        <f t="shared" si="57"/>
        <v/>
      </c>
      <c r="AG312" s="6" t="str">
        <f t="shared" si="58"/>
        <v/>
      </c>
      <c r="AH312" s="6" t="str">
        <f t="shared" si="59"/>
        <v/>
      </c>
    </row>
    <row r="313" spans="1:34">
      <c r="A313" s="9"/>
      <c r="C313" s="4" t="str">
        <f>IFERROR(VLOOKUP(B313,'Code Lists'!$A:$B,2,FALSE),"")</f>
        <v/>
      </c>
      <c r="F313" s="4" t="str">
        <f>IFERROR(VLOOKUP(E313,'Code Lists'!$D:$E,2,FALSE),"")</f>
        <v/>
      </c>
      <c r="H313" s="4" t="str">
        <f>IFERROR(VLOOKUP(G313,'Code Lists'!$G:$H,2,FALSE),"")</f>
        <v/>
      </c>
      <c r="J313" s="10"/>
      <c r="M313" s="11"/>
      <c r="Q313" s="7" t="str">
        <f>IF(VedAarnaSKUMaster[[#This Row],[HSN/SAC Code]]=998822,5%,IF(VedAarnaSKUMaster[[#This Row],[HSN/SAC Code]]=998391,18%,IF(VedAarnaSKUMaster[[#This Row],[HSN/SAC Code]]=998723,5%,"")))</f>
        <v/>
      </c>
      <c r="R313" s="5" t="str">
        <f t="shared" si="49"/>
        <v/>
      </c>
      <c r="S313" s="5" t="str">
        <f t="shared" si="50"/>
        <v/>
      </c>
      <c r="T313" s="11"/>
      <c r="U313" s="8" t="str">
        <f>IF(OR(VedAarnaSKUMaster[[#This Row],[Selling Price]]="",VedAarnaSKUMaster[[#This Row],[Selling Price]]=0),"",CEILING(VedAarnaSKUMaster[[#This Row],[Selling Price]]/(1-20%),100)-1)</f>
        <v/>
      </c>
      <c r="V313">
        <f t="shared" si="60"/>
        <v>0</v>
      </c>
      <c r="W313" s="8"/>
      <c r="Z313" s="6" t="str">
        <f t="shared" si="51"/>
        <v/>
      </c>
      <c r="AA313" s="6" t="str">
        <f t="shared" si="52"/>
        <v/>
      </c>
      <c r="AB313" s="6" t="str">
        <f t="shared" si="53"/>
        <v/>
      </c>
      <c r="AC313" s="6" t="str">
        <f t="shared" si="54"/>
        <v/>
      </c>
      <c r="AD313" s="6" t="str">
        <f t="shared" si="55"/>
        <v/>
      </c>
      <c r="AE313" s="6" t="str">
        <f t="shared" si="56"/>
        <v/>
      </c>
      <c r="AF313" s="6" t="str">
        <f t="shared" si="57"/>
        <v/>
      </c>
      <c r="AG313" s="6" t="str">
        <f t="shared" si="58"/>
        <v/>
      </c>
      <c r="AH313" s="6" t="str">
        <f t="shared" si="59"/>
        <v/>
      </c>
    </row>
    <row r="314" spans="1:34">
      <c r="A314" s="9"/>
      <c r="C314" s="4" t="str">
        <f>IFERROR(VLOOKUP(B314,'Code Lists'!$A:$B,2,FALSE),"")</f>
        <v/>
      </c>
      <c r="F314" s="4" t="str">
        <f>IFERROR(VLOOKUP(E314,'Code Lists'!$D:$E,2,FALSE),"")</f>
        <v/>
      </c>
      <c r="H314" s="4" t="str">
        <f>IFERROR(VLOOKUP(G314,'Code Lists'!$G:$H,2,FALSE),"")</f>
        <v/>
      </c>
      <c r="J314" s="10"/>
      <c r="M314" s="11"/>
      <c r="Q314" s="7" t="str">
        <f>IF(VedAarnaSKUMaster[[#This Row],[HSN/SAC Code]]=998822,5%,IF(VedAarnaSKUMaster[[#This Row],[HSN/SAC Code]]=998391,18%,IF(VedAarnaSKUMaster[[#This Row],[HSN/SAC Code]]=998723,5%,"")))</f>
        <v/>
      </c>
      <c r="R314" s="5" t="str">
        <f t="shared" si="49"/>
        <v/>
      </c>
      <c r="S314" s="5" t="str">
        <f t="shared" si="50"/>
        <v/>
      </c>
      <c r="T314" s="11"/>
      <c r="U314" s="8" t="str">
        <f>IF(OR(VedAarnaSKUMaster[[#This Row],[Selling Price]]="",VedAarnaSKUMaster[[#This Row],[Selling Price]]=0),"",CEILING(VedAarnaSKUMaster[[#This Row],[Selling Price]]/(1-20%),100)-1)</f>
        <v/>
      </c>
      <c r="V314">
        <f t="shared" si="60"/>
        <v>0</v>
      </c>
      <c r="W314" s="8"/>
      <c r="Z314" s="6" t="str">
        <f t="shared" si="51"/>
        <v/>
      </c>
      <c r="AA314" s="6" t="str">
        <f t="shared" si="52"/>
        <v/>
      </c>
      <c r="AB314" s="6" t="str">
        <f t="shared" si="53"/>
        <v/>
      </c>
      <c r="AC314" s="6" t="str">
        <f t="shared" si="54"/>
        <v/>
      </c>
      <c r="AD314" s="6" t="str">
        <f t="shared" si="55"/>
        <v/>
      </c>
      <c r="AE314" s="6" t="str">
        <f t="shared" si="56"/>
        <v/>
      </c>
      <c r="AF314" s="6" t="str">
        <f t="shared" si="57"/>
        <v/>
      </c>
      <c r="AG314" s="6" t="str">
        <f t="shared" si="58"/>
        <v/>
      </c>
      <c r="AH314" s="6" t="str">
        <f t="shared" si="59"/>
        <v/>
      </c>
    </row>
    <row r="315" spans="1:34">
      <c r="A315" s="9"/>
      <c r="C315" s="4" t="str">
        <f>IFERROR(VLOOKUP(B315,'Code Lists'!$A:$B,2,FALSE),"")</f>
        <v/>
      </c>
      <c r="F315" s="4" t="str">
        <f>IFERROR(VLOOKUP(E315,'Code Lists'!$D:$E,2,FALSE),"")</f>
        <v/>
      </c>
      <c r="H315" s="4" t="str">
        <f>IFERROR(VLOOKUP(G315,'Code Lists'!$G:$H,2,FALSE),"")</f>
        <v/>
      </c>
      <c r="J315" s="10"/>
      <c r="M315" s="11"/>
      <c r="Q315" s="7" t="str">
        <f>IF(VedAarnaSKUMaster[[#This Row],[HSN/SAC Code]]=998822,5%,IF(VedAarnaSKUMaster[[#This Row],[HSN/SAC Code]]=998391,18%,IF(VedAarnaSKUMaster[[#This Row],[HSN/SAC Code]]=998723,5%,"")))</f>
        <v/>
      </c>
      <c r="R315" s="5" t="str">
        <f t="shared" si="49"/>
        <v/>
      </c>
      <c r="S315" s="5" t="str">
        <f t="shared" si="50"/>
        <v/>
      </c>
      <c r="T315" s="11"/>
      <c r="U315" s="8" t="str">
        <f>IF(OR(VedAarnaSKUMaster[[#This Row],[Selling Price]]="",VedAarnaSKUMaster[[#This Row],[Selling Price]]=0),"",CEILING(VedAarnaSKUMaster[[#This Row],[Selling Price]]/(1-20%),100)-1)</f>
        <v/>
      </c>
      <c r="V315">
        <f t="shared" si="60"/>
        <v>0</v>
      </c>
      <c r="W315" s="8"/>
      <c r="Z315" s="6" t="str">
        <f t="shared" si="51"/>
        <v/>
      </c>
      <c r="AA315" s="6" t="str">
        <f t="shared" si="52"/>
        <v/>
      </c>
      <c r="AB315" s="6" t="str">
        <f t="shared" si="53"/>
        <v/>
      </c>
      <c r="AC315" s="6" t="str">
        <f t="shared" si="54"/>
        <v/>
      </c>
      <c r="AD315" s="6" t="str">
        <f t="shared" si="55"/>
        <v/>
      </c>
      <c r="AE315" s="6" t="str">
        <f t="shared" si="56"/>
        <v/>
      </c>
      <c r="AF315" s="6" t="str">
        <f t="shared" si="57"/>
        <v/>
      </c>
      <c r="AG315" s="6" t="str">
        <f t="shared" si="58"/>
        <v/>
      </c>
      <c r="AH315" s="6" t="str">
        <f t="shared" si="59"/>
        <v/>
      </c>
    </row>
    <row r="316" spans="1:34">
      <c r="A316" s="9"/>
      <c r="C316" s="4" t="str">
        <f>IFERROR(VLOOKUP(B316,'Code Lists'!$A:$B,2,FALSE),"")</f>
        <v/>
      </c>
      <c r="F316" s="4" t="str">
        <f>IFERROR(VLOOKUP(E316,'Code Lists'!$D:$E,2,FALSE),"")</f>
        <v/>
      </c>
      <c r="H316" s="4" t="str">
        <f>IFERROR(VLOOKUP(G316,'Code Lists'!$G:$H,2,FALSE),"")</f>
        <v/>
      </c>
      <c r="J316" s="10"/>
      <c r="M316" s="11"/>
      <c r="Q316" s="7" t="str">
        <f>IF(VedAarnaSKUMaster[[#This Row],[HSN/SAC Code]]=998822,5%,IF(VedAarnaSKUMaster[[#This Row],[HSN/SAC Code]]=998391,18%,IF(VedAarnaSKUMaster[[#This Row],[HSN/SAC Code]]=998723,5%,"")))</f>
        <v/>
      </c>
      <c r="R316" s="5" t="str">
        <f t="shared" si="49"/>
        <v/>
      </c>
      <c r="S316" s="5" t="str">
        <f t="shared" si="50"/>
        <v/>
      </c>
      <c r="T316" s="11"/>
      <c r="U316" s="8" t="str">
        <f>IF(OR(VedAarnaSKUMaster[[#This Row],[Selling Price]]="",VedAarnaSKUMaster[[#This Row],[Selling Price]]=0),"",CEILING(VedAarnaSKUMaster[[#This Row],[Selling Price]]/(1-20%),100)-1)</f>
        <v/>
      </c>
      <c r="V316">
        <f t="shared" si="60"/>
        <v>0</v>
      </c>
      <c r="W316" s="8"/>
      <c r="Z316" s="6" t="str">
        <f t="shared" si="51"/>
        <v/>
      </c>
      <c r="AA316" s="6" t="str">
        <f t="shared" si="52"/>
        <v/>
      </c>
      <c r="AB316" s="6" t="str">
        <f t="shared" si="53"/>
        <v/>
      </c>
      <c r="AC316" s="6" t="str">
        <f t="shared" si="54"/>
        <v/>
      </c>
      <c r="AD316" s="6" t="str">
        <f t="shared" si="55"/>
        <v/>
      </c>
      <c r="AE316" s="6" t="str">
        <f t="shared" si="56"/>
        <v/>
      </c>
      <c r="AF316" s="6" t="str">
        <f t="shared" si="57"/>
        <v/>
      </c>
      <c r="AG316" s="6" t="str">
        <f t="shared" si="58"/>
        <v/>
      </c>
      <c r="AH316" s="6" t="str">
        <f t="shared" si="59"/>
        <v/>
      </c>
    </row>
    <row r="317" spans="1:34">
      <c r="A317" s="9"/>
      <c r="C317" s="4" t="str">
        <f>IFERROR(VLOOKUP(B317,'Code Lists'!$A:$B,2,FALSE),"")</f>
        <v/>
      </c>
      <c r="F317" s="4" t="str">
        <f>IFERROR(VLOOKUP(E317,'Code Lists'!$D:$E,2,FALSE),"")</f>
        <v/>
      </c>
      <c r="H317" s="4" t="str">
        <f>IFERROR(VLOOKUP(G317,'Code Lists'!$G:$H,2,FALSE),"")</f>
        <v/>
      </c>
      <c r="J317" s="10"/>
      <c r="M317" s="11"/>
      <c r="Q317" s="7" t="str">
        <f>IF(VedAarnaSKUMaster[[#This Row],[HSN/SAC Code]]=998822,5%,IF(VedAarnaSKUMaster[[#This Row],[HSN/SAC Code]]=998391,18%,IF(VedAarnaSKUMaster[[#This Row],[HSN/SAC Code]]=998723,5%,"")))</f>
        <v/>
      </c>
      <c r="R317" s="5" t="str">
        <f t="shared" si="49"/>
        <v/>
      </c>
      <c r="S317" s="5" t="str">
        <f t="shared" si="50"/>
        <v/>
      </c>
      <c r="T317" s="11"/>
      <c r="U317" s="8" t="str">
        <f>IF(OR(VedAarnaSKUMaster[[#This Row],[Selling Price]]="",VedAarnaSKUMaster[[#This Row],[Selling Price]]=0),"",CEILING(VedAarnaSKUMaster[[#This Row],[Selling Price]]/(1-20%),100)-1)</f>
        <v/>
      </c>
      <c r="V317">
        <f t="shared" si="60"/>
        <v>0</v>
      </c>
      <c r="W317" s="8"/>
      <c r="Z317" s="6" t="str">
        <f t="shared" si="51"/>
        <v/>
      </c>
      <c r="AA317" s="6" t="str">
        <f t="shared" si="52"/>
        <v/>
      </c>
      <c r="AB317" s="6" t="str">
        <f t="shared" si="53"/>
        <v/>
      </c>
      <c r="AC317" s="6" t="str">
        <f t="shared" si="54"/>
        <v/>
      </c>
      <c r="AD317" s="6" t="str">
        <f t="shared" si="55"/>
        <v/>
      </c>
      <c r="AE317" s="6" t="str">
        <f t="shared" si="56"/>
        <v/>
      </c>
      <c r="AF317" s="6" t="str">
        <f t="shared" si="57"/>
        <v/>
      </c>
      <c r="AG317" s="6" t="str">
        <f t="shared" si="58"/>
        <v/>
      </c>
      <c r="AH317" s="6" t="str">
        <f t="shared" si="59"/>
        <v/>
      </c>
    </row>
    <row r="318" spans="1:34">
      <c r="A318" s="9"/>
      <c r="C318" s="4" t="str">
        <f>IFERROR(VLOOKUP(B318,'Code Lists'!$A:$B,2,FALSE),"")</f>
        <v/>
      </c>
      <c r="F318" s="4" t="str">
        <f>IFERROR(VLOOKUP(E318,'Code Lists'!$D:$E,2,FALSE),"")</f>
        <v/>
      </c>
      <c r="H318" s="4" t="str">
        <f>IFERROR(VLOOKUP(G318,'Code Lists'!$G:$H,2,FALSE),"")</f>
        <v/>
      </c>
      <c r="J318" s="10"/>
      <c r="M318" s="11"/>
      <c r="Q318" s="7" t="str">
        <f>IF(VedAarnaSKUMaster[[#This Row],[HSN/SAC Code]]=998822,5%,IF(VedAarnaSKUMaster[[#This Row],[HSN/SAC Code]]=998391,18%,IF(VedAarnaSKUMaster[[#This Row],[HSN/SAC Code]]=998723,5%,"")))</f>
        <v/>
      </c>
      <c r="R318" s="5" t="str">
        <f t="shared" si="49"/>
        <v/>
      </c>
      <c r="S318" s="5" t="str">
        <f t="shared" si="50"/>
        <v/>
      </c>
      <c r="T318" s="11"/>
      <c r="U318" s="8" t="str">
        <f>IF(OR(VedAarnaSKUMaster[[#This Row],[Selling Price]]="",VedAarnaSKUMaster[[#This Row],[Selling Price]]=0),"",CEILING(VedAarnaSKUMaster[[#This Row],[Selling Price]]/(1-20%),100)-1)</f>
        <v/>
      </c>
      <c r="V318">
        <f t="shared" si="60"/>
        <v>0</v>
      </c>
      <c r="W318" s="8"/>
      <c r="Z318" s="6" t="str">
        <f t="shared" si="51"/>
        <v/>
      </c>
      <c r="AA318" s="6" t="str">
        <f t="shared" si="52"/>
        <v/>
      </c>
      <c r="AB318" s="6" t="str">
        <f t="shared" si="53"/>
        <v/>
      </c>
      <c r="AC318" s="6" t="str">
        <f t="shared" si="54"/>
        <v/>
      </c>
      <c r="AD318" s="6" t="str">
        <f t="shared" si="55"/>
        <v/>
      </c>
      <c r="AE318" s="6" t="str">
        <f t="shared" si="56"/>
        <v/>
      </c>
      <c r="AF318" s="6" t="str">
        <f t="shared" si="57"/>
        <v/>
      </c>
      <c r="AG318" s="6" t="str">
        <f t="shared" si="58"/>
        <v/>
      </c>
      <c r="AH318" s="6" t="str">
        <f t="shared" si="59"/>
        <v/>
      </c>
    </row>
    <row r="319" spans="1:34">
      <c r="A319" s="9"/>
      <c r="C319" s="4" t="str">
        <f>IFERROR(VLOOKUP(B319,'Code Lists'!$A:$B,2,FALSE),"")</f>
        <v/>
      </c>
      <c r="F319" s="4" t="str">
        <f>IFERROR(VLOOKUP(E319,'Code Lists'!$D:$E,2,FALSE),"")</f>
        <v/>
      </c>
      <c r="H319" s="4" t="str">
        <f>IFERROR(VLOOKUP(G319,'Code Lists'!$G:$H,2,FALSE),"")</f>
        <v/>
      </c>
      <c r="J319" s="10"/>
      <c r="M319" s="11"/>
      <c r="Q319" s="7" t="str">
        <f>IF(VedAarnaSKUMaster[[#This Row],[HSN/SAC Code]]=998822,5%,IF(VedAarnaSKUMaster[[#This Row],[HSN/SAC Code]]=998391,18%,IF(VedAarnaSKUMaster[[#This Row],[HSN/SAC Code]]=998723,5%,"")))</f>
        <v/>
      </c>
      <c r="R319" s="5" t="str">
        <f t="shared" si="49"/>
        <v/>
      </c>
      <c r="S319" s="5" t="str">
        <f t="shared" si="50"/>
        <v/>
      </c>
      <c r="T319" s="11"/>
      <c r="U319" s="8" t="str">
        <f>IF(OR(VedAarnaSKUMaster[[#This Row],[Selling Price]]="",VedAarnaSKUMaster[[#This Row],[Selling Price]]=0),"",CEILING(VedAarnaSKUMaster[[#This Row],[Selling Price]]/(1-20%),100)-1)</f>
        <v/>
      </c>
      <c r="V319">
        <f t="shared" si="60"/>
        <v>0</v>
      </c>
      <c r="W319" s="8"/>
      <c r="Z319" s="6" t="str">
        <f t="shared" si="51"/>
        <v/>
      </c>
      <c r="AA319" s="6" t="str">
        <f t="shared" si="52"/>
        <v/>
      </c>
      <c r="AB319" s="6" t="str">
        <f t="shared" si="53"/>
        <v/>
      </c>
      <c r="AC319" s="6" t="str">
        <f t="shared" si="54"/>
        <v/>
      </c>
      <c r="AD319" s="6" t="str">
        <f t="shared" si="55"/>
        <v/>
      </c>
      <c r="AE319" s="6" t="str">
        <f t="shared" si="56"/>
        <v/>
      </c>
      <c r="AF319" s="6" t="str">
        <f t="shared" si="57"/>
        <v/>
      </c>
      <c r="AG319" s="6" t="str">
        <f t="shared" si="58"/>
        <v/>
      </c>
      <c r="AH319" s="6" t="str">
        <f t="shared" si="59"/>
        <v/>
      </c>
    </row>
    <row r="320" spans="1:34">
      <c r="A320" s="9"/>
      <c r="C320" s="4" t="str">
        <f>IFERROR(VLOOKUP(B320,'Code Lists'!$A:$B,2,FALSE),"")</f>
        <v/>
      </c>
      <c r="F320" s="4" t="str">
        <f>IFERROR(VLOOKUP(E320,'Code Lists'!$D:$E,2,FALSE),"")</f>
        <v/>
      </c>
      <c r="H320" s="4" t="str">
        <f>IFERROR(VLOOKUP(G320,'Code Lists'!$G:$H,2,FALSE),"")</f>
        <v/>
      </c>
      <c r="J320" s="10"/>
      <c r="M320" s="11"/>
      <c r="Q320" s="7" t="str">
        <f>IF(VedAarnaSKUMaster[[#This Row],[HSN/SAC Code]]=998822,5%,IF(VedAarnaSKUMaster[[#This Row],[HSN/SAC Code]]=998391,18%,IF(VedAarnaSKUMaster[[#This Row],[HSN/SAC Code]]=998723,5%,"")))</f>
        <v/>
      </c>
      <c r="R320" s="5" t="str">
        <f t="shared" si="49"/>
        <v/>
      </c>
      <c r="S320" s="5" t="str">
        <f t="shared" si="50"/>
        <v/>
      </c>
      <c r="T320" s="11"/>
      <c r="U320" s="8" t="str">
        <f>IF(OR(VedAarnaSKUMaster[[#This Row],[Selling Price]]="",VedAarnaSKUMaster[[#This Row],[Selling Price]]=0),"",CEILING(VedAarnaSKUMaster[[#This Row],[Selling Price]]/(1-20%),100)-1)</f>
        <v/>
      </c>
      <c r="V320">
        <f t="shared" si="60"/>
        <v>0</v>
      </c>
      <c r="W320" s="8"/>
      <c r="Z320" s="6" t="str">
        <f t="shared" si="51"/>
        <v/>
      </c>
      <c r="AA320" s="6" t="str">
        <f t="shared" si="52"/>
        <v/>
      </c>
      <c r="AB320" s="6" t="str">
        <f t="shared" si="53"/>
        <v/>
      </c>
      <c r="AC320" s="6" t="str">
        <f t="shared" si="54"/>
        <v/>
      </c>
      <c r="AD320" s="6" t="str">
        <f t="shared" si="55"/>
        <v/>
      </c>
      <c r="AE320" s="6" t="str">
        <f t="shared" si="56"/>
        <v/>
      </c>
      <c r="AF320" s="6" t="str">
        <f t="shared" si="57"/>
        <v/>
      </c>
      <c r="AG320" s="6" t="str">
        <f t="shared" si="58"/>
        <v/>
      </c>
      <c r="AH320" s="6" t="str">
        <f t="shared" si="59"/>
        <v/>
      </c>
    </row>
    <row r="321" spans="1:34">
      <c r="A321" s="9"/>
      <c r="C321" s="4" t="str">
        <f>IFERROR(VLOOKUP(B321,'Code Lists'!$A:$B,2,FALSE),"")</f>
        <v/>
      </c>
      <c r="F321" s="4" t="str">
        <f>IFERROR(VLOOKUP(E321,'Code Lists'!$D:$E,2,FALSE),"")</f>
        <v/>
      </c>
      <c r="H321" s="4" t="str">
        <f>IFERROR(VLOOKUP(G321,'Code Lists'!$G:$H,2,FALSE),"")</f>
        <v/>
      </c>
      <c r="J321" s="10"/>
      <c r="M321" s="11"/>
      <c r="Q321" s="7" t="str">
        <f>IF(VedAarnaSKUMaster[[#This Row],[HSN/SAC Code]]=998822,5%,IF(VedAarnaSKUMaster[[#This Row],[HSN/SAC Code]]=998391,18%,IF(VedAarnaSKUMaster[[#This Row],[HSN/SAC Code]]=998723,5%,"")))</f>
        <v/>
      </c>
      <c r="R321" s="5" t="str">
        <f t="shared" ref="R321:R384" si="61">IF(OR(A321="",C321="",H321="",J321=""),"","VS-"&amp;C321&amp;IF(D321&lt;&gt;"","-"&amp;D321,"")&amp;"-"&amp;TEXT(A321,"0000")&amp;"-"&amp;H321&amp;"-"&amp;RIGHT(TEXT(J321,"0000"),2))</f>
        <v/>
      </c>
      <c r="S321" s="5" t="str">
        <f t="shared" ref="S321:S384" si="62">IF(OR(A321="",C321="",F321="",H321="",I321="",J321=""),"","VS-"&amp;C321&amp;IF(D321&lt;&gt;"","-"&amp;D321,"")&amp;"-"&amp;TEXT(A321,"0000")&amp;"-"&amp;F321&amp;"-"&amp;H321&amp;"-"&amp;I321&amp;"-"&amp;RIGHT(TEXT(J321,"0000"),2))</f>
        <v/>
      </c>
      <c r="T321" s="11"/>
      <c r="U321" s="8" t="str">
        <f>IF(OR(VedAarnaSKUMaster[[#This Row],[Selling Price]]="",VedAarnaSKUMaster[[#This Row],[Selling Price]]=0),"",CEILING(VedAarnaSKUMaster[[#This Row],[Selling Price]]/(1-20%),100)-1)</f>
        <v/>
      </c>
      <c r="V321">
        <f t="shared" si="60"/>
        <v>0</v>
      </c>
      <c r="W321" s="8"/>
      <c r="Z321" s="6" t="str">
        <f t="shared" si="51"/>
        <v/>
      </c>
      <c r="AA321" s="6" t="str">
        <f t="shared" si="52"/>
        <v/>
      </c>
      <c r="AB321" s="6" t="str">
        <f t="shared" si="53"/>
        <v/>
      </c>
      <c r="AC321" s="6" t="str">
        <f t="shared" si="54"/>
        <v/>
      </c>
      <c r="AD321" s="6" t="str">
        <f t="shared" si="55"/>
        <v/>
      </c>
      <c r="AE321" s="6" t="str">
        <f t="shared" si="56"/>
        <v/>
      </c>
      <c r="AF321" s="6" t="str">
        <f t="shared" si="57"/>
        <v/>
      </c>
      <c r="AG321" s="6" t="str">
        <f t="shared" si="58"/>
        <v/>
      </c>
      <c r="AH321" s="6" t="str">
        <f t="shared" si="59"/>
        <v/>
      </c>
    </row>
    <row r="322" spans="1:34">
      <c r="A322" s="9"/>
      <c r="C322" s="4" t="str">
        <f>IFERROR(VLOOKUP(B322,'Code Lists'!$A:$B,2,FALSE),"")</f>
        <v/>
      </c>
      <c r="F322" s="4" t="str">
        <f>IFERROR(VLOOKUP(E322,'Code Lists'!$D:$E,2,FALSE),"")</f>
        <v/>
      </c>
      <c r="H322" s="4" t="str">
        <f>IFERROR(VLOOKUP(G322,'Code Lists'!$G:$H,2,FALSE),"")</f>
        <v/>
      </c>
      <c r="J322" s="10"/>
      <c r="M322" s="11"/>
      <c r="Q322" s="7" t="str">
        <f>IF(VedAarnaSKUMaster[[#This Row],[HSN/SAC Code]]=998822,5%,IF(VedAarnaSKUMaster[[#This Row],[HSN/SAC Code]]=998391,18%,IF(VedAarnaSKUMaster[[#This Row],[HSN/SAC Code]]=998723,5%,"")))</f>
        <v/>
      </c>
      <c r="R322" s="5" t="str">
        <f t="shared" si="61"/>
        <v/>
      </c>
      <c r="S322" s="5" t="str">
        <f t="shared" si="62"/>
        <v/>
      </c>
      <c r="T322" s="11"/>
      <c r="U322" s="8" t="str">
        <f>IF(OR(VedAarnaSKUMaster[[#This Row],[Selling Price]]="",VedAarnaSKUMaster[[#This Row],[Selling Price]]=0),"",CEILING(VedAarnaSKUMaster[[#This Row],[Selling Price]]/(1-20%),100)-1)</f>
        <v/>
      </c>
      <c r="V322">
        <f t="shared" si="60"/>
        <v>0</v>
      </c>
      <c r="W322" s="8"/>
      <c r="Z322" s="6" t="str">
        <f t="shared" ref="Z322:Z385" si="63">IF($R322="","",$R322&amp;"-01-FR.png")</f>
        <v/>
      </c>
      <c r="AA322" s="6" t="str">
        <f t="shared" ref="AA322:AA385" si="64">IF($R322="","",$R322&amp;"-02-SD.png")</f>
        <v/>
      </c>
      <c r="AB322" s="6" t="str">
        <f t="shared" ref="AB322:AB385" si="65">IF($R322="","",$R322&amp;"-03-BK.png")</f>
        <v/>
      </c>
      <c r="AC322" s="6" t="str">
        <f t="shared" ref="AC322:AC385" si="66">IF($R322="","",$R322&amp;"-04-CD.png")</f>
        <v/>
      </c>
      <c r="AD322" s="6" t="str">
        <f t="shared" ref="AD322:AD385" si="67">IF($R322="","",$R322&amp;"-05-WK.png")</f>
        <v/>
      </c>
      <c r="AE322" s="6" t="str">
        <f t="shared" ref="AE322:AE385" si="68">IF($R322="","",$R322&amp;"-06-ST.png")</f>
        <v/>
      </c>
      <c r="AF322" s="6" t="str">
        <f t="shared" ref="AF322:AF385" si="69">IF($R322="","",$R322&amp;"-FB.png")</f>
        <v/>
      </c>
      <c r="AG322" s="6" t="str">
        <f t="shared" ref="AG322:AG385" si="70">IF($R322="","",$R322&amp;"-DT.png")</f>
        <v/>
      </c>
      <c r="AH322" s="6" t="str">
        <f t="shared" ref="AH322:AH385" si="71">IF($R322="","",$R322&amp;"-REF-01.png")</f>
        <v/>
      </c>
    </row>
    <row r="323" spans="1:34">
      <c r="A323" s="9"/>
      <c r="C323" s="4" t="str">
        <f>IFERROR(VLOOKUP(B323,'Code Lists'!$A:$B,2,FALSE),"")</f>
        <v/>
      </c>
      <c r="F323" s="4" t="str">
        <f>IFERROR(VLOOKUP(E323,'Code Lists'!$D:$E,2,FALSE),"")</f>
        <v/>
      </c>
      <c r="H323" s="4" t="str">
        <f>IFERROR(VLOOKUP(G323,'Code Lists'!$G:$H,2,FALSE),"")</f>
        <v/>
      </c>
      <c r="J323" s="10"/>
      <c r="M323" s="11"/>
      <c r="Q323" s="7" t="str">
        <f>IF(VedAarnaSKUMaster[[#This Row],[HSN/SAC Code]]=998822,5%,IF(VedAarnaSKUMaster[[#This Row],[HSN/SAC Code]]=998391,18%,IF(VedAarnaSKUMaster[[#This Row],[HSN/SAC Code]]=998723,5%,"")))</f>
        <v/>
      </c>
      <c r="R323" s="5" t="str">
        <f t="shared" si="61"/>
        <v/>
      </c>
      <c r="S323" s="5" t="str">
        <f t="shared" si="62"/>
        <v/>
      </c>
      <c r="T323" s="11"/>
      <c r="U323" s="8" t="str">
        <f>IF(OR(VedAarnaSKUMaster[[#This Row],[Selling Price]]="",VedAarnaSKUMaster[[#This Row],[Selling Price]]=0),"",CEILING(VedAarnaSKUMaster[[#This Row],[Selling Price]]/(1-20%),100)-1)</f>
        <v/>
      </c>
      <c r="V323">
        <f t="shared" ref="V323:V386" si="72">ROUND(W323/(1-50%),-2)</f>
        <v>0</v>
      </c>
      <c r="W323" s="8"/>
      <c r="Z323" s="6" t="str">
        <f t="shared" si="63"/>
        <v/>
      </c>
      <c r="AA323" s="6" t="str">
        <f t="shared" si="64"/>
        <v/>
      </c>
      <c r="AB323" s="6" t="str">
        <f t="shared" si="65"/>
        <v/>
      </c>
      <c r="AC323" s="6" t="str">
        <f t="shared" si="66"/>
        <v/>
      </c>
      <c r="AD323" s="6" t="str">
        <f t="shared" si="67"/>
        <v/>
      </c>
      <c r="AE323" s="6" t="str">
        <f t="shared" si="68"/>
        <v/>
      </c>
      <c r="AF323" s="6" t="str">
        <f t="shared" si="69"/>
        <v/>
      </c>
      <c r="AG323" s="6" t="str">
        <f t="shared" si="70"/>
        <v/>
      </c>
      <c r="AH323" s="6" t="str">
        <f t="shared" si="71"/>
        <v/>
      </c>
    </row>
    <row r="324" spans="1:34">
      <c r="A324" s="9"/>
      <c r="C324" s="4" t="str">
        <f>IFERROR(VLOOKUP(B324,'Code Lists'!$A:$B,2,FALSE),"")</f>
        <v/>
      </c>
      <c r="F324" s="4" t="str">
        <f>IFERROR(VLOOKUP(E324,'Code Lists'!$D:$E,2,FALSE),"")</f>
        <v/>
      </c>
      <c r="H324" s="4" t="str">
        <f>IFERROR(VLOOKUP(G324,'Code Lists'!$G:$H,2,FALSE),"")</f>
        <v/>
      </c>
      <c r="J324" s="10"/>
      <c r="M324" s="11"/>
      <c r="Q324" s="7" t="str">
        <f>IF(VedAarnaSKUMaster[[#This Row],[HSN/SAC Code]]=998822,5%,IF(VedAarnaSKUMaster[[#This Row],[HSN/SAC Code]]=998391,18%,IF(VedAarnaSKUMaster[[#This Row],[HSN/SAC Code]]=998723,5%,"")))</f>
        <v/>
      </c>
      <c r="R324" s="5" t="str">
        <f t="shared" si="61"/>
        <v/>
      </c>
      <c r="S324" s="5" t="str">
        <f t="shared" si="62"/>
        <v/>
      </c>
      <c r="T324" s="11"/>
      <c r="U324" s="8" t="str">
        <f>IF(OR(VedAarnaSKUMaster[[#This Row],[Selling Price]]="",VedAarnaSKUMaster[[#This Row],[Selling Price]]=0),"",CEILING(VedAarnaSKUMaster[[#This Row],[Selling Price]]/(1-20%),100)-1)</f>
        <v/>
      </c>
      <c r="V324">
        <f t="shared" si="72"/>
        <v>0</v>
      </c>
      <c r="W324" s="8"/>
      <c r="Z324" s="6" t="str">
        <f t="shared" si="63"/>
        <v/>
      </c>
      <c r="AA324" s="6" t="str">
        <f t="shared" si="64"/>
        <v/>
      </c>
      <c r="AB324" s="6" t="str">
        <f t="shared" si="65"/>
        <v/>
      </c>
      <c r="AC324" s="6" t="str">
        <f t="shared" si="66"/>
        <v/>
      </c>
      <c r="AD324" s="6" t="str">
        <f t="shared" si="67"/>
        <v/>
      </c>
      <c r="AE324" s="6" t="str">
        <f t="shared" si="68"/>
        <v/>
      </c>
      <c r="AF324" s="6" t="str">
        <f t="shared" si="69"/>
        <v/>
      </c>
      <c r="AG324" s="6" t="str">
        <f t="shared" si="70"/>
        <v/>
      </c>
      <c r="AH324" s="6" t="str">
        <f t="shared" si="71"/>
        <v/>
      </c>
    </row>
    <row r="325" spans="1:34">
      <c r="A325" s="9"/>
      <c r="C325" s="4" t="str">
        <f>IFERROR(VLOOKUP(B325,'Code Lists'!$A:$B,2,FALSE),"")</f>
        <v/>
      </c>
      <c r="F325" s="4" t="str">
        <f>IFERROR(VLOOKUP(E325,'Code Lists'!$D:$E,2,FALSE),"")</f>
        <v/>
      </c>
      <c r="H325" s="4" t="str">
        <f>IFERROR(VLOOKUP(G325,'Code Lists'!$G:$H,2,FALSE),"")</f>
        <v/>
      </c>
      <c r="J325" s="10"/>
      <c r="M325" s="11"/>
      <c r="Q325" s="7" t="str">
        <f>IF(VedAarnaSKUMaster[[#This Row],[HSN/SAC Code]]=998822,5%,IF(VedAarnaSKUMaster[[#This Row],[HSN/SAC Code]]=998391,18%,IF(VedAarnaSKUMaster[[#This Row],[HSN/SAC Code]]=998723,5%,"")))</f>
        <v/>
      </c>
      <c r="R325" s="5" t="str">
        <f t="shared" si="61"/>
        <v/>
      </c>
      <c r="S325" s="5" t="str">
        <f t="shared" si="62"/>
        <v/>
      </c>
      <c r="T325" s="11"/>
      <c r="U325" s="8" t="str">
        <f>IF(OR(VedAarnaSKUMaster[[#This Row],[Selling Price]]="",VedAarnaSKUMaster[[#This Row],[Selling Price]]=0),"",CEILING(VedAarnaSKUMaster[[#This Row],[Selling Price]]/(1-20%),100)-1)</f>
        <v/>
      </c>
      <c r="V325">
        <f t="shared" si="72"/>
        <v>0</v>
      </c>
      <c r="W325" s="8"/>
      <c r="Z325" s="6" t="str">
        <f t="shared" si="63"/>
        <v/>
      </c>
      <c r="AA325" s="6" t="str">
        <f t="shared" si="64"/>
        <v/>
      </c>
      <c r="AB325" s="6" t="str">
        <f t="shared" si="65"/>
        <v/>
      </c>
      <c r="AC325" s="6" t="str">
        <f t="shared" si="66"/>
        <v/>
      </c>
      <c r="AD325" s="6" t="str">
        <f t="shared" si="67"/>
        <v/>
      </c>
      <c r="AE325" s="6" t="str">
        <f t="shared" si="68"/>
        <v/>
      </c>
      <c r="AF325" s="6" t="str">
        <f t="shared" si="69"/>
        <v/>
      </c>
      <c r="AG325" s="6" t="str">
        <f t="shared" si="70"/>
        <v/>
      </c>
      <c r="AH325" s="6" t="str">
        <f t="shared" si="71"/>
        <v/>
      </c>
    </row>
    <row r="326" spans="1:34">
      <c r="A326" s="9"/>
      <c r="C326" s="4" t="str">
        <f>IFERROR(VLOOKUP(B326,'Code Lists'!$A:$B,2,FALSE),"")</f>
        <v/>
      </c>
      <c r="F326" s="4" t="str">
        <f>IFERROR(VLOOKUP(E326,'Code Lists'!$D:$E,2,FALSE),"")</f>
        <v/>
      </c>
      <c r="H326" s="4" t="str">
        <f>IFERROR(VLOOKUP(G326,'Code Lists'!$G:$H,2,FALSE),"")</f>
        <v/>
      </c>
      <c r="J326" s="10"/>
      <c r="M326" s="11"/>
      <c r="Q326" s="7" t="str">
        <f>IF(VedAarnaSKUMaster[[#This Row],[HSN/SAC Code]]=998822,5%,IF(VedAarnaSKUMaster[[#This Row],[HSN/SAC Code]]=998391,18%,IF(VedAarnaSKUMaster[[#This Row],[HSN/SAC Code]]=998723,5%,"")))</f>
        <v/>
      </c>
      <c r="R326" s="5" t="str">
        <f t="shared" si="61"/>
        <v/>
      </c>
      <c r="S326" s="5" t="str">
        <f t="shared" si="62"/>
        <v/>
      </c>
      <c r="T326" s="11"/>
      <c r="U326" s="8" t="str">
        <f>IF(OR(VedAarnaSKUMaster[[#This Row],[Selling Price]]="",VedAarnaSKUMaster[[#This Row],[Selling Price]]=0),"",CEILING(VedAarnaSKUMaster[[#This Row],[Selling Price]]/(1-20%),100)-1)</f>
        <v/>
      </c>
      <c r="V326">
        <f t="shared" si="72"/>
        <v>0</v>
      </c>
      <c r="W326" s="8"/>
      <c r="Z326" s="6" t="str">
        <f t="shared" si="63"/>
        <v/>
      </c>
      <c r="AA326" s="6" t="str">
        <f t="shared" si="64"/>
        <v/>
      </c>
      <c r="AB326" s="6" t="str">
        <f t="shared" si="65"/>
        <v/>
      </c>
      <c r="AC326" s="6" t="str">
        <f t="shared" si="66"/>
        <v/>
      </c>
      <c r="AD326" s="6" t="str">
        <f t="shared" si="67"/>
        <v/>
      </c>
      <c r="AE326" s="6" t="str">
        <f t="shared" si="68"/>
        <v/>
      </c>
      <c r="AF326" s="6" t="str">
        <f t="shared" si="69"/>
        <v/>
      </c>
      <c r="AG326" s="6" t="str">
        <f t="shared" si="70"/>
        <v/>
      </c>
      <c r="AH326" s="6" t="str">
        <f t="shared" si="71"/>
        <v/>
      </c>
    </row>
    <row r="327" spans="1:34">
      <c r="A327" s="9"/>
      <c r="C327" s="4" t="str">
        <f>IFERROR(VLOOKUP(B327,'Code Lists'!$A:$B,2,FALSE),"")</f>
        <v/>
      </c>
      <c r="F327" s="4" t="str">
        <f>IFERROR(VLOOKUP(E327,'Code Lists'!$D:$E,2,FALSE),"")</f>
        <v/>
      </c>
      <c r="H327" s="4" t="str">
        <f>IFERROR(VLOOKUP(G327,'Code Lists'!$G:$H,2,FALSE),"")</f>
        <v/>
      </c>
      <c r="J327" s="10"/>
      <c r="M327" s="11"/>
      <c r="Q327" s="7" t="str">
        <f>IF(VedAarnaSKUMaster[[#This Row],[HSN/SAC Code]]=998822,5%,IF(VedAarnaSKUMaster[[#This Row],[HSN/SAC Code]]=998391,18%,IF(VedAarnaSKUMaster[[#This Row],[HSN/SAC Code]]=998723,5%,"")))</f>
        <v/>
      </c>
      <c r="R327" s="5" t="str">
        <f t="shared" si="61"/>
        <v/>
      </c>
      <c r="S327" s="5" t="str">
        <f t="shared" si="62"/>
        <v/>
      </c>
      <c r="T327" s="11"/>
      <c r="U327" s="8" t="str">
        <f>IF(OR(VedAarnaSKUMaster[[#This Row],[Selling Price]]="",VedAarnaSKUMaster[[#This Row],[Selling Price]]=0),"",CEILING(VedAarnaSKUMaster[[#This Row],[Selling Price]]/(1-20%),100)-1)</f>
        <v/>
      </c>
      <c r="V327">
        <f t="shared" si="72"/>
        <v>0</v>
      </c>
      <c r="W327" s="8"/>
      <c r="Z327" s="6" t="str">
        <f t="shared" si="63"/>
        <v/>
      </c>
      <c r="AA327" s="6" t="str">
        <f t="shared" si="64"/>
        <v/>
      </c>
      <c r="AB327" s="6" t="str">
        <f t="shared" si="65"/>
        <v/>
      </c>
      <c r="AC327" s="6" t="str">
        <f t="shared" si="66"/>
        <v/>
      </c>
      <c r="AD327" s="6" t="str">
        <f t="shared" si="67"/>
        <v/>
      </c>
      <c r="AE327" s="6" t="str">
        <f t="shared" si="68"/>
        <v/>
      </c>
      <c r="AF327" s="6" t="str">
        <f t="shared" si="69"/>
        <v/>
      </c>
      <c r="AG327" s="6" t="str">
        <f t="shared" si="70"/>
        <v/>
      </c>
      <c r="AH327" s="6" t="str">
        <f t="shared" si="71"/>
        <v/>
      </c>
    </row>
    <row r="328" spans="1:34">
      <c r="A328" s="9"/>
      <c r="C328" s="4" t="str">
        <f>IFERROR(VLOOKUP(B328,'Code Lists'!$A:$B,2,FALSE),"")</f>
        <v/>
      </c>
      <c r="F328" s="4" t="str">
        <f>IFERROR(VLOOKUP(E328,'Code Lists'!$D:$E,2,FALSE),"")</f>
        <v/>
      </c>
      <c r="H328" s="4" t="str">
        <f>IFERROR(VLOOKUP(G328,'Code Lists'!$G:$H,2,FALSE),"")</f>
        <v/>
      </c>
      <c r="J328" s="10"/>
      <c r="M328" s="11"/>
      <c r="Q328" s="7" t="str">
        <f>IF(VedAarnaSKUMaster[[#This Row],[HSN/SAC Code]]=998822,5%,IF(VedAarnaSKUMaster[[#This Row],[HSN/SAC Code]]=998391,18%,IF(VedAarnaSKUMaster[[#This Row],[HSN/SAC Code]]=998723,5%,"")))</f>
        <v/>
      </c>
      <c r="R328" s="5" t="str">
        <f t="shared" si="61"/>
        <v/>
      </c>
      <c r="S328" s="5" t="str">
        <f t="shared" si="62"/>
        <v/>
      </c>
      <c r="T328" s="11"/>
      <c r="U328" s="8" t="str">
        <f>IF(OR(VedAarnaSKUMaster[[#This Row],[Selling Price]]="",VedAarnaSKUMaster[[#This Row],[Selling Price]]=0),"",CEILING(VedAarnaSKUMaster[[#This Row],[Selling Price]]/(1-20%),100)-1)</f>
        <v/>
      </c>
      <c r="V328">
        <f t="shared" si="72"/>
        <v>0</v>
      </c>
      <c r="W328" s="8"/>
      <c r="Z328" s="6" t="str">
        <f t="shared" si="63"/>
        <v/>
      </c>
      <c r="AA328" s="6" t="str">
        <f t="shared" si="64"/>
        <v/>
      </c>
      <c r="AB328" s="6" t="str">
        <f t="shared" si="65"/>
        <v/>
      </c>
      <c r="AC328" s="6" t="str">
        <f t="shared" si="66"/>
        <v/>
      </c>
      <c r="AD328" s="6" t="str">
        <f t="shared" si="67"/>
        <v/>
      </c>
      <c r="AE328" s="6" t="str">
        <f t="shared" si="68"/>
        <v/>
      </c>
      <c r="AF328" s="6" t="str">
        <f t="shared" si="69"/>
        <v/>
      </c>
      <c r="AG328" s="6" t="str">
        <f t="shared" si="70"/>
        <v/>
      </c>
      <c r="AH328" s="6" t="str">
        <f t="shared" si="71"/>
        <v/>
      </c>
    </row>
    <row r="329" spans="1:34">
      <c r="A329" s="9"/>
      <c r="C329" s="4" t="str">
        <f>IFERROR(VLOOKUP(B329,'Code Lists'!$A:$B,2,FALSE),"")</f>
        <v/>
      </c>
      <c r="F329" s="4" t="str">
        <f>IFERROR(VLOOKUP(E329,'Code Lists'!$D:$E,2,FALSE),"")</f>
        <v/>
      </c>
      <c r="H329" s="4" t="str">
        <f>IFERROR(VLOOKUP(G329,'Code Lists'!$G:$H,2,FALSE),"")</f>
        <v/>
      </c>
      <c r="J329" s="10"/>
      <c r="M329" s="11"/>
      <c r="Q329" s="7" t="str">
        <f>IF(VedAarnaSKUMaster[[#This Row],[HSN/SAC Code]]=998822,5%,IF(VedAarnaSKUMaster[[#This Row],[HSN/SAC Code]]=998391,18%,IF(VedAarnaSKUMaster[[#This Row],[HSN/SAC Code]]=998723,5%,"")))</f>
        <v/>
      </c>
      <c r="R329" s="5" t="str">
        <f t="shared" si="61"/>
        <v/>
      </c>
      <c r="S329" s="5" t="str">
        <f t="shared" si="62"/>
        <v/>
      </c>
      <c r="T329" s="11"/>
      <c r="U329" s="8" t="str">
        <f>IF(OR(VedAarnaSKUMaster[[#This Row],[Selling Price]]="",VedAarnaSKUMaster[[#This Row],[Selling Price]]=0),"",CEILING(VedAarnaSKUMaster[[#This Row],[Selling Price]]/(1-20%),100)-1)</f>
        <v/>
      </c>
      <c r="V329">
        <f t="shared" si="72"/>
        <v>0</v>
      </c>
      <c r="W329" s="8"/>
      <c r="Z329" s="6" t="str">
        <f t="shared" si="63"/>
        <v/>
      </c>
      <c r="AA329" s="6" t="str">
        <f t="shared" si="64"/>
        <v/>
      </c>
      <c r="AB329" s="6" t="str">
        <f t="shared" si="65"/>
        <v/>
      </c>
      <c r="AC329" s="6" t="str">
        <f t="shared" si="66"/>
        <v/>
      </c>
      <c r="AD329" s="6" t="str">
        <f t="shared" si="67"/>
        <v/>
      </c>
      <c r="AE329" s="6" t="str">
        <f t="shared" si="68"/>
        <v/>
      </c>
      <c r="AF329" s="6" t="str">
        <f t="shared" si="69"/>
        <v/>
      </c>
      <c r="AG329" s="6" t="str">
        <f t="shared" si="70"/>
        <v/>
      </c>
      <c r="AH329" s="6" t="str">
        <f t="shared" si="71"/>
        <v/>
      </c>
    </row>
    <row r="330" spans="1:34">
      <c r="A330" s="9"/>
      <c r="C330" s="4" t="str">
        <f>IFERROR(VLOOKUP(B330,'Code Lists'!$A:$B,2,FALSE),"")</f>
        <v/>
      </c>
      <c r="F330" s="4" t="str">
        <f>IFERROR(VLOOKUP(E330,'Code Lists'!$D:$E,2,FALSE),"")</f>
        <v/>
      </c>
      <c r="H330" s="4" t="str">
        <f>IFERROR(VLOOKUP(G330,'Code Lists'!$G:$H,2,FALSE),"")</f>
        <v/>
      </c>
      <c r="J330" s="10"/>
      <c r="M330" s="11"/>
      <c r="Q330" s="7" t="str">
        <f>IF(VedAarnaSKUMaster[[#This Row],[HSN/SAC Code]]=998822,5%,IF(VedAarnaSKUMaster[[#This Row],[HSN/SAC Code]]=998391,18%,IF(VedAarnaSKUMaster[[#This Row],[HSN/SAC Code]]=998723,5%,"")))</f>
        <v/>
      </c>
      <c r="R330" s="5" t="str">
        <f t="shared" si="61"/>
        <v/>
      </c>
      <c r="S330" s="5" t="str">
        <f t="shared" si="62"/>
        <v/>
      </c>
      <c r="T330" s="11"/>
      <c r="U330" s="8" t="str">
        <f>IF(OR(VedAarnaSKUMaster[[#This Row],[Selling Price]]="",VedAarnaSKUMaster[[#This Row],[Selling Price]]=0),"",CEILING(VedAarnaSKUMaster[[#This Row],[Selling Price]]/(1-20%),100)-1)</f>
        <v/>
      </c>
      <c r="V330">
        <f t="shared" si="72"/>
        <v>0</v>
      </c>
      <c r="W330" s="8"/>
      <c r="Z330" s="6" t="str">
        <f t="shared" si="63"/>
        <v/>
      </c>
      <c r="AA330" s="6" t="str">
        <f t="shared" si="64"/>
        <v/>
      </c>
      <c r="AB330" s="6" t="str">
        <f t="shared" si="65"/>
        <v/>
      </c>
      <c r="AC330" s="6" t="str">
        <f t="shared" si="66"/>
        <v/>
      </c>
      <c r="AD330" s="6" t="str">
        <f t="shared" si="67"/>
        <v/>
      </c>
      <c r="AE330" s="6" t="str">
        <f t="shared" si="68"/>
        <v/>
      </c>
      <c r="AF330" s="6" t="str">
        <f t="shared" si="69"/>
        <v/>
      </c>
      <c r="AG330" s="6" t="str">
        <f t="shared" si="70"/>
        <v/>
      </c>
      <c r="AH330" s="6" t="str">
        <f t="shared" si="71"/>
        <v/>
      </c>
    </row>
    <row r="331" spans="1:34">
      <c r="A331" s="9"/>
      <c r="C331" s="4" t="str">
        <f>IFERROR(VLOOKUP(B331,'Code Lists'!$A:$B,2,FALSE),"")</f>
        <v/>
      </c>
      <c r="F331" s="4" t="str">
        <f>IFERROR(VLOOKUP(E331,'Code Lists'!$D:$E,2,FALSE),"")</f>
        <v/>
      </c>
      <c r="H331" s="4" t="str">
        <f>IFERROR(VLOOKUP(G331,'Code Lists'!$G:$H,2,FALSE),"")</f>
        <v/>
      </c>
      <c r="J331" s="10"/>
      <c r="M331" s="11"/>
      <c r="Q331" s="7" t="str">
        <f>IF(VedAarnaSKUMaster[[#This Row],[HSN/SAC Code]]=998822,5%,IF(VedAarnaSKUMaster[[#This Row],[HSN/SAC Code]]=998391,18%,IF(VedAarnaSKUMaster[[#This Row],[HSN/SAC Code]]=998723,5%,"")))</f>
        <v/>
      </c>
      <c r="R331" s="5" t="str">
        <f t="shared" si="61"/>
        <v/>
      </c>
      <c r="S331" s="5" t="str">
        <f t="shared" si="62"/>
        <v/>
      </c>
      <c r="T331" s="11"/>
      <c r="U331" s="8" t="str">
        <f>IF(OR(VedAarnaSKUMaster[[#This Row],[Selling Price]]="",VedAarnaSKUMaster[[#This Row],[Selling Price]]=0),"",CEILING(VedAarnaSKUMaster[[#This Row],[Selling Price]]/(1-20%),100)-1)</f>
        <v/>
      </c>
      <c r="V331">
        <f t="shared" si="72"/>
        <v>0</v>
      </c>
      <c r="W331" s="8"/>
      <c r="Z331" s="6" t="str">
        <f t="shared" si="63"/>
        <v/>
      </c>
      <c r="AA331" s="6" t="str">
        <f t="shared" si="64"/>
        <v/>
      </c>
      <c r="AB331" s="6" t="str">
        <f t="shared" si="65"/>
        <v/>
      </c>
      <c r="AC331" s="6" t="str">
        <f t="shared" si="66"/>
        <v/>
      </c>
      <c r="AD331" s="6" t="str">
        <f t="shared" si="67"/>
        <v/>
      </c>
      <c r="AE331" s="6" t="str">
        <f t="shared" si="68"/>
        <v/>
      </c>
      <c r="AF331" s="6" t="str">
        <f t="shared" si="69"/>
        <v/>
      </c>
      <c r="AG331" s="6" t="str">
        <f t="shared" si="70"/>
        <v/>
      </c>
      <c r="AH331" s="6" t="str">
        <f t="shared" si="71"/>
        <v/>
      </c>
    </row>
    <row r="332" spans="1:34">
      <c r="A332" s="9"/>
      <c r="C332" s="4" t="str">
        <f>IFERROR(VLOOKUP(B332,'Code Lists'!$A:$B,2,FALSE),"")</f>
        <v/>
      </c>
      <c r="F332" s="4" t="str">
        <f>IFERROR(VLOOKUP(E332,'Code Lists'!$D:$E,2,FALSE),"")</f>
        <v/>
      </c>
      <c r="H332" s="4" t="str">
        <f>IFERROR(VLOOKUP(G332,'Code Lists'!$G:$H,2,FALSE),"")</f>
        <v/>
      </c>
      <c r="J332" s="10"/>
      <c r="M332" s="11"/>
      <c r="Q332" s="7" t="str">
        <f>IF(VedAarnaSKUMaster[[#This Row],[HSN/SAC Code]]=998822,5%,IF(VedAarnaSKUMaster[[#This Row],[HSN/SAC Code]]=998391,18%,IF(VedAarnaSKUMaster[[#This Row],[HSN/SAC Code]]=998723,5%,"")))</f>
        <v/>
      </c>
      <c r="R332" s="5" t="str">
        <f t="shared" si="61"/>
        <v/>
      </c>
      <c r="S332" s="5" t="str">
        <f t="shared" si="62"/>
        <v/>
      </c>
      <c r="T332" s="11"/>
      <c r="U332" s="8" t="str">
        <f>IF(OR(VedAarnaSKUMaster[[#This Row],[Selling Price]]="",VedAarnaSKUMaster[[#This Row],[Selling Price]]=0),"",CEILING(VedAarnaSKUMaster[[#This Row],[Selling Price]]/(1-20%),100)-1)</f>
        <v/>
      </c>
      <c r="V332">
        <f t="shared" si="72"/>
        <v>0</v>
      </c>
      <c r="W332" s="8"/>
      <c r="Z332" s="6" t="str">
        <f t="shared" si="63"/>
        <v/>
      </c>
      <c r="AA332" s="6" t="str">
        <f t="shared" si="64"/>
        <v/>
      </c>
      <c r="AB332" s="6" t="str">
        <f t="shared" si="65"/>
        <v/>
      </c>
      <c r="AC332" s="6" t="str">
        <f t="shared" si="66"/>
        <v/>
      </c>
      <c r="AD332" s="6" t="str">
        <f t="shared" si="67"/>
        <v/>
      </c>
      <c r="AE332" s="6" t="str">
        <f t="shared" si="68"/>
        <v/>
      </c>
      <c r="AF332" s="6" t="str">
        <f t="shared" si="69"/>
        <v/>
      </c>
      <c r="AG332" s="6" t="str">
        <f t="shared" si="70"/>
        <v/>
      </c>
      <c r="AH332" s="6" t="str">
        <f t="shared" si="71"/>
        <v/>
      </c>
    </row>
    <row r="333" spans="1:34">
      <c r="A333" s="9"/>
      <c r="C333" s="4" t="str">
        <f>IFERROR(VLOOKUP(B333,'Code Lists'!$A:$B,2,FALSE),"")</f>
        <v/>
      </c>
      <c r="F333" s="4" t="str">
        <f>IFERROR(VLOOKUP(E333,'Code Lists'!$D:$E,2,FALSE),"")</f>
        <v/>
      </c>
      <c r="H333" s="4" t="str">
        <f>IFERROR(VLOOKUP(G333,'Code Lists'!$G:$H,2,FALSE),"")</f>
        <v/>
      </c>
      <c r="J333" s="10"/>
      <c r="M333" s="11"/>
      <c r="Q333" s="7" t="str">
        <f>IF(VedAarnaSKUMaster[[#This Row],[HSN/SAC Code]]=998822,5%,IF(VedAarnaSKUMaster[[#This Row],[HSN/SAC Code]]=998391,18%,IF(VedAarnaSKUMaster[[#This Row],[HSN/SAC Code]]=998723,5%,"")))</f>
        <v/>
      </c>
      <c r="R333" s="5" t="str">
        <f t="shared" si="61"/>
        <v/>
      </c>
      <c r="S333" s="5" t="str">
        <f t="shared" si="62"/>
        <v/>
      </c>
      <c r="T333" s="11"/>
      <c r="U333" s="8" t="str">
        <f>IF(OR(VedAarnaSKUMaster[[#This Row],[Selling Price]]="",VedAarnaSKUMaster[[#This Row],[Selling Price]]=0),"",CEILING(VedAarnaSKUMaster[[#This Row],[Selling Price]]/(1-20%),100)-1)</f>
        <v/>
      </c>
      <c r="V333">
        <f t="shared" si="72"/>
        <v>0</v>
      </c>
      <c r="W333" s="8"/>
      <c r="Z333" s="6" t="str">
        <f t="shared" si="63"/>
        <v/>
      </c>
      <c r="AA333" s="6" t="str">
        <f t="shared" si="64"/>
        <v/>
      </c>
      <c r="AB333" s="6" t="str">
        <f t="shared" si="65"/>
        <v/>
      </c>
      <c r="AC333" s="6" t="str">
        <f t="shared" si="66"/>
        <v/>
      </c>
      <c r="AD333" s="6" t="str">
        <f t="shared" si="67"/>
        <v/>
      </c>
      <c r="AE333" s="6" t="str">
        <f t="shared" si="68"/>
        <v/>
      </c>
      <c r="AF333" s="6" t="str">
        <f t="shared" si="69"/>
        <v/>
      </c>
      <c r="AG333" s="6" t="str">
        <f t="shared" si="70"/>
        <v/>
      </c>
      <c r="AH333" s="6" t="str">
        <f t="shared" si="71"/>
        <v/>
      </c>
    </row>
    <row r="334" spans="1:34">
      <c r="A334" s="9"/>
      <c r="C334" s="4" t="str">
        <f>IFERROR(VLOOKUP(B334,'Code Lists'!$A:$B,2,FALSE),"")</f>
        <v/>
      </c>
      <c r="F334" s="4" t="str">
        <f>IFERROR(VLOOKUP(E334,'Code Lists'!$D:$E,2,FALSE),"")</f>
        <v/>
      </c>
      <c r="H334" s="4" t="str">
        <f>IFERROR(VLOOKUP(G334,'Code Lists'!$G:$H,2,FALSE),"")</f>
        <v/>
      </c>
      <c r="J334" s="10"/>
      <c r="M334" s="11"/>
      <c r="Q334" s="7" t="str">
        <f>IF(VedAarnaSKUMaster[[#This Row],[HSN/SAC Code]]=998822,5%,IF(VedAarnaSKUMaster[[#This Row],[HSN/SAC Code]]=998391,18%,IF(VedAarnaSKUMaster[[#This Row],[HSN/SAC Code]]=998723,5%,"")))</f>
        <v/>
      </c>
      <c r="R334" s="5" t="str">
        <f t="shared" si="61"/>
        <v/>
      </c>
      <c r="S334" s="5" t="str">
        <f t="shared" si="62"/>
        <v/>
      </c>
      <c r="T334" s="11"/>
      <c r="U334" s="8" t="str">
        <f>IF(OR(VedAarnaSKUMaster[[#This Row],[Selling Price]]="",VedAarnaSKUMaster[[#This Row],[Selling Price]]=0),"",CEILING(VedAarnaSKUMaster[[#This Row],[Selling Price]]/(1-20%),100)-1)</f>
        <v/>
      </c>
      <c r="V334">
        <f t="shared" si="72"/>
        <v>0</v>
      </c>
      <c r="W334" s="8"/>
      <c r="Z334" s="6" t="str">
        <f t="shared" si="63"/>
        <v/>
      </c>
      <c r="AA334" s="6" t="str">
        <f t="shared" si="64"/>
        <v/>
      </c>
      <c r="AB334" s="6" t="str">
        <f t="shared" si="65"/>
        <v/>
      </c>
      <c r="AC334" s="6" t="str">
        <f t="shared" si="66"/>
        <v/>
      </c>
      <c r="AD334" s="6" t="str">
        <f t="shared" si="67"/>
        <v/>
      </c>
      <c r="AE334" s="6" t="str">
        <f t="shared" si="68"/>
        <v/>
      </c>
      <c r="AF334" s="6" t="str">
        <f t="shared" si="69"/>
        <v/>
      </c>
      <c r="AG334" s="6" t="str">
        <f t="shared" si="70"/>
        <v/>
      </c>
      <c r="AH334" s="6" t="str">
        <f t="shared" si="71"/>
        <v/>
      </c>
    </row>
    <row r="335" spans="1:34">
      <c r="A335" s="9"/>
      <c r="C335" s="4" t="str">
        <f>IFERROR(VLOOKUP(B335,'Code Lists'!$A:$B,2,FALSE),"")</f>
        <v/>
      </c>
      <c r="F335" s="4" t="str">
        <f>IFERROR(VLOOKUP(E335,'Code Lists'!$D:$E,2,FALSE),"")</f>
        <v/>
      </c>
      <c r="H335" s="4" t="str">
        <f>IFERROR(VLOOKUP(G335,'Code Lists'!$G:$H,2,FALSE),"")</f>
        <v/>
      </c>
      <c r="J335" s="10"/>
      <c r="M335" s="11"/>
      <c r="Q335" s="7" t="str">
        <f>IF(VedAarnaSKUMaster[[#This Row],[HSN/SAC Code]]=998822,5%,IF(VedAarnaSKUMaster[[#This Row],[HSN/SAC Code]]=998391,18%,IF(VedAarnaSKUMaster[[#This Row],[HSN/SAC Code]]=998723,5%,"")))</f>
        <v/>
      </c>
      <c r="R335" s="5" t="str">
        <f t="shared" si="61"/>
        <v/>
      </c>
      <c r="S335" s="5" t="str">
        <f t="shared" si="62"/>
        <v/>
      </c>
      <c r="T335" s="11"/>
      <c r="U335" s="8" t="str">
        <f>IF(OR(VedAarnaSKUMaster[[#This Row],[Selling Price]]="",VedAarnaSKUMaster[[#This Row],[Selling Price]]=0),"",CEILING(VedAarnaSKUMaster[[#This Row],[Selling Price]]/(1-20%),100)-1)</f>
        <v/>
      </c>
      <c r="V335">
        <f t="shared" si="72"/>
        <v>0</v>
      </c>
      <c r="W335" s="8"/>
      <c r="Z335" s="6" t="str">
        <f t="shared" si="63"/>
        <v/>
      </c>
      <c r="AA335" s="6" t="str">
        <f t="shared" si="64"/>
        <v/>
      </c>
      <c r="AB335" s="6" t="str">
        <f t="shared" si="65"/>
        <v/>
      </c>
      <c r="AC335" s="6" t="str">
        <f t="shared" si="66"/>
        <v/>
      </c>
      <c r="AD335" s="6" t="str">
        <f t="shared" si="67"/>
        <v/>
      </c>
      <c r="AE335" s="6" t="str">
        <f t="shared" si="68"/>
        <v/>
      </c>
      <c r="AF335" s="6" t="str">
        <f t="shared" si="69"/>
        <v/>
      </c>
      <c r="AG335" s="6" t="str">
        <f t="shared" si="70"/>
        <v/>
      </c>
      <c r="AH335" s="6" t="str">
        <f t="shared" si="71"/>
        <v/>
      </c>
    </row>
    <row r="336" spans="1:34">
      <c r="A336" s="9"/>
      <c r="C336" s="4" t="str">
        <f>IFERROR(VLOOKUP(B336,'Code Lists'!$A:$B,2,FALSE),"")</f>
        <v/>
      </c>
      <c r="F336" s="4" t="str">
        <f>IFERROR(VLOOKUP(E336,'Code Lists'!$D:$E,2,FALSE),"")</f>
        <v/>
      </c>
      <c r="H336" s="4" t="str">
        <f>IFERROR(VLOOKUP(G336,'Code Lists'!$G:$H,2,FALSE),"")</f>
        <v/>
      </c>
      <c r="J336" s="10"/>
      <c r="M336" s="11"/>
      <c r="Q336" s="7" t="str">
        <f>IF(VedAarnaSKUMaster[[#This Row],[HSN/SAC Code]]=998822,5%,IF(VedAarnaSKUMaster[[#This Row],[HSN/SAC Code]]=998391,18%,IF(VedAarnaSKUMaster[[#This Row],[HSN/SAC Code]]=998723,5%,"")))</f>
        <v/>
      </c>
      <c r="R336" s="5" t="str">
        <f t="shared" si="61"/>
        <v/>
      </c>
      <c r="S336" s="5" t="str">
        <f t="shared" si="62"/>
        <v/>
      </c>
      <c r="T336" s="11"/>
      <c r="U336" s="8" t="str">
        <f>IF(OR(VedAarnaSKUMaster[[#This Row],[Selling Price]]="",VedAarnaSKUMaster[[#This Row],[Selling Price]]=0),"",CEILING(VedAarnaSKUMaster[[#This Row],[Selling Price]]/(1-20%),100)-1)</f>
        <v/>
      </c>
      <c r="V336">
        <f t="shared" si="72"/>
        <v>0</v>
      </c>
      <c r="W336" s="8"/>
      <c r="Z336" s="6" t="str">
        <f t="shared" si="63"/>
        <v/>
      </c>
      <c r="AA336" s="6" t="str">
        <f t="shared" si="64"/>
        <v/>
      </c>
      <c r="AB336" s="6" t="str">
        <f t="shared" si="65"/>
        <v/>
      </c>
      <c r="AC336" s="6" t="str">
        <f t="shared" si="66"/>
        <v/>
      </c>
      <c r="AD336" s="6" t="str">
        <f t="shared" si="67"/>
        <v/>
      </c>
      <c r="AE336" s="6" t="str">
        <f t="shared" si="68"/>
        <v/>
      </c>
      <c r="AF336" s="6" t="str">
        <f t="shared" si="69"/>
        <v/>
      </c>
      <c r="AG336" s="6" t="str">
        <f t="shared" si="70"/>
        <v/>
      </c>
      <c r="AH336" s="6" t="str">
        <f t="shared" si="71"/>
        <v/>
      </c>
    </row>
    <row r="337" spans="1:34">
      <c r="A337" s="9"/>
      <c r="C337" s="4" t="str">
        <f>IFERROR(VLOOKUP(B337,'Code Lists'!$A:$B,2,FALSE),"")</f>
        <v/>
      </c>
      <c r="F337" s="4" t="str">
        <f>IFERROR(VLOOKUP(E337,'Code Lists'!$D:$E,2,FALSE),"")</f>
        <v/>
      </c>
      <c r="H337" s="4" t="str">
        <f>IFERROR(VLOOKUP(G337,'Code Lists'!$G:$H,2,FALSE),"")</f>
        <v/>
      </c>
      <c r="J337" s="10"/>
      <c r="M337" s="11"/>
      <c r="Q337" s="7" t="str">
        <f>IF(VedAarnaSKUMaster[[#This Row],[HSN/SAC Code]]=998822,5%,IF(VedAarnaSKUMaster[[#This Row],[HSN/SAC Code]]=998391,18%,IF(VedAarnaSKUMaster[[#This Row],[HSN/SAC Code]]=998723,5%,"")))</f>
        <v/>
      </c>
      <c r="R337" s="5" t="str">
        <f t="shared" si="61"/>
        <v/>
      </c>
      <c r="S337" s="5" t="str">
        <f t="shared" si="62"/>
        <v/>
      </c>
      <c r="T337" s="11"/>
      <c r="U337" s="8" t="str">
        <f>IF(OR(VedAarnaSKUMaster[[#This Row],[Selling Price]]="",VedAarnaSKUMaster[[#This Row],[Selling Price]]=0),"",CEILING(VedAarnaSKUMaster[[#This Row],[Selling Price]]/(1-20%),100)-1)</f>
        <v/>
      </c>
      <c r="V337">
        <f t="shared" si="72"/>
        <v>0</v>
      </c>
      <c r="W337" s="8"/>
      <c r="Z337" s="6" t="str">
        <f t="shared" si="63"/>
        <v/>
      </c>
      <c r="AA337" s="6" t="str">
        <f t="shared" si="64"/>
        <v/>
      </c>
      <c r="AB337" s="6" t="str">
        <f t="shared" si="65"/>
        <v/>
      </c>
      <c r="AC337" s="6" t="str">
        <f t="shared" si="66"/>
        <v/>
      </c>
      <c r="AD337" s="6" t="str">
        <f t="shared" si="67"/>
        <v/>
      </c>
      <c r="AE337" s="6" t="str">
        <f t="shared" si="68"/>
        <v/>
      </c>
      <c r="AF337" s="6" t="str">
        <f t="shared" si="69"/>
        <v/>
      </c>
      <c r="AG337" s="6" t="str">
        <f t="shared" si="70"/>
        <v/>
      </c>
      <c r="AH337" s="6" t="str">
        <f t="shared" si="71"/>
        <v/>
      </c>
    </row>
    <row r="338" spans="1:34">
      <c r="A338" s="9"/>
      <c r="C338" s="4" t="str">
        <f>IFERROR(VLOOKUP(B338,'Code Lists'!$A:$B,2,FALSE),"")</f>
        <v/>
      </c>
      <c r="F338" s="4" t="str">
        <f>IFERROR(VLOOKUP(E338,'Code Lists'!$D:$E,2,FALSE),"")</f>
        <v/>
      </c>
      <c r="H338" s="4" t="str">
        <f>IFERROR(VLOOKUP(G338,'Code Lists'!$G:$H,2,FALSE),"")</f>
        <v/>
      </c>
      <c r="J338" s="10"/>
      <c r="M338" s="11"/>
      <c r="Q338" s="7" t="str">
        <f>IF(VedAarnaSKUMaster[[#This Row],[HSN/SAC Code]]=998822,5%,IF(VedAarnaSKUMaster[[#This Row],[HSN/SAC Code]]=998391,18%,IF(VedAarnaSKUMaster[[#This Row],[HSN/SAC Code]]=998723,5%,"")))</f>
        <v/>
      </c>
      <c r="R338" s="5" t="str">
        <f t="shared" si="61"/>
        <v/>
      </c>
      <c r="S338" s="5" t="str">
        <f t="shared" si="62"/>
        <v/>
      </c>
      <c r="T338" s="11"/>
      <c r="U338" s="8" t="str">
        <f>IF(OR(VedAarnaSKUMaster[[#This Row],[Selling Price]]="",VedAarnaSKUMaster[[#This Row],[Selling Price]]=0),"",CEILING(VedAarnaSKUMaster[[#This Row],[Selling Price]]/(1-20%),100)-1)</f>
        <v/>
      </c>
      <c r="V338">
        <f t="shared" si="72"/>
        <v>0</v>
      </c>
      <c r="W338" s="8"/>
      <c r="Z338" s="6" t="str">
        <f t="shared" si="63"/>
        <v/>
      </c>
      <c r="AA338" s="6" t="str">
        <f t="shared" si="64"/>
        <v/>
      </c>
      <c r="AB338" s="6" t="str">
        <f t="shared" si="65"/>
        <v/>
      </c>
      <c r="AC338" s="6" t="str">
        <f t="shared" si="66"/>
        <v/>
      </c>
      <c r="AD338" s="6" t="str">
        <f t="shared" si="67"/>
        <v/>
      </c>
      <c r="AE338" s="6" t="str">
        <f t="shared" si="68"/>
        <v/>
      </c>
      <c r="AF338" s="6" t="str">
        <f t="shared" si="69"/>
        <v/>
      </c>
      <c r="AG338" s="6" t="str">
        <f t="shared" si="70"/>
        <v/>
      </c>
      <c r="AH338" s="6" t="str">
        <f t="shared" si="71"/>
        <v/>
      </c>
    </row>
    <row r="339" spans="1:34">
      <c r="A339" s="9"/>
      <c r="C339" s="4" t="str">
        <f>IFERROR(VLOOKUP(B339,'Code Lists'!$A:$B,2,FALSE),"")</f>
        <v/>
      </c>
      <c r="F339" s="4" t="str">
        <f>IFERROR(VLOOKUP(E339,'Code Lists'!$D:$E,2,FALSE),"")</f>
        <v/>
      </c>
      <c r="H339" s="4" t="str">
        <f>IFERROR(VLOOKUP(G339,'Code Lists'!$G:$H,2,FALSE),"")</f>
        <v/>
      </c>
      <c r="J339" s="10"/>
      <c r="M339" s="11"/>
      <c r="Q339" s="7" t="str">
        <f>IF(VedAarnaSKUMaster[[#This Row],[HSN/SAC Code]]=998822,5%,IF(VedAarnaSKUMaster[[#This Row],[HSN/SAC Code]]=998391,18%,IF(VedAarnaSKUMaster[[#This Row],[HSN/SAC Code]]=998723,5%,"")))</f>
        <v/>
      </c>
      <c r="R339" s="5" t="str">
        <f t="shared" si="61"/>
        <v/>
      </c>
      <c r="S339" s="5" t="str">
        <f t="shared" si="62"/>
        <v/>
      </c>
      <c r="T339" s="11"/>
      <c r="U339" s="8" t="str">
        <f>IF(OR(VedAarnaSKUMaster[[#This Row],[Selling Price]]="",VedAarnaSKUMaster[[#This Row],[Selling Price]]=0),"",CEILING(VedAarnaSKUMaster[[#This Row],[Selling Price]]/(1-20%),100)-1)</f>
        <v/>
      </c>
      <c r="V339">
        <f t="shared" si="72"/>
        <v>0</v>
      </c>
      <c r="W339" s="8"/>
      <c r="Z339" s="6" t="str">
        <f t="shared" si="63"/>
        <v/>
      </c>
      <c r="AA339" s="6" t="str">
        <f t="shared" si="64"/>
        <v/>
      </c>
      <c r="AB339" s="6" t="str">
        <f t="shared" si="65"/>
        <v/>
      </c>
      <c r="AC339" s="6" t="str">
        <f t="shared" si="66"/>
        <v/>
      </c>
      <c r="AD339" s="6" t="str">
        <f t="shared" si="67"/>
        <v/>
      </c>
      <c r="AE339" s="6" t="str">
        <f t="shared" si="68"/>
        <v/>
      </c>
      <c r="AF339" s="6" t="str">
        <f t="shared" si="69"/>
        <v/>
      </c>
      <c r="AG339" s="6" t="str">
        <f t="shared" si="70"/>
        <v/>
      </c>
      <c r="AH339" s="6" t="str">
        <f t="shared" si="71"/>
        <v/>
      </c>
    </row>
    <row r="340" spans="1:34">
      <c r="A340" s="9"/>
      <c r="C340" s="4" t="str">
        <f>IFERROR(VLOOKUP(B340,'Code Lists'!$A:$B,2,FALSE),"")</f>
        <v/>
      </c>
      <c r="F340" s="4" t="str">
        <f>IFERROR(VLOOKUP(E340,'Code Lists'!$D:$E,2,FALSE),"")</f>
        <v/>
      </c>
      <c r="H340" s="4" t="str">
        <f>IFERROR(VLOOKUP(G340,'Code Lists'!$G:$H,2,FALSE),"")</f>
        <v/>
      </c>
      <c r="J340" s="10"/>
      <c r="M340" s="11"/>
      <c r="Q340" s="7" t="str">
        <f>IF(VedAarnaSKUMaster[[#This Row],[HSN/SAC Code]]=998822,5%,IF(VedAarnaSKUMaster[[#This Row],[HSN/SAC Code]]=998391,18%,IF(VedAarnaSKUMaster[[#This Row],[HSN/SAC Code]]=998723,5%,"")))</f>
        <v/>
      </c>
      <c r="R340" s="5" t="str">
        <f t="shared" si="61"/>
        <v/>
      </c>
      <c r="S340" s="5" t="str">
        <f t="shared" si="62"/>
        <v/>
      </c>
      <c r="T340" s="11"/>
      <c r="U340" s="8" t="str">
        <f>IF(OR(VedAarnaSKUMaster[[#This Row],[Selling Price]]="",VedAarnaSKUMaster[[#This Row],[Selling Price]]=0),"",CEILING(VedAarnaSKUMaster[[#This Row],[Selling Price]]/(1-20%),100)-1)</f>
        <v/>
      </c>
      <c r="V340">
        <f t="shared" si="72"/>
        <v>0</v>
      </c>
      <c r="W340" s="8"/>
      <c r="Z340" s="6" t="str">
        <f t="shared" si="63"/>
        <v/>
      </c>
      <c r="AA340" s="6" t="str">
        <f t="shared" si="64"/>
        <v/>
      </c>
      <c r="AB340" s="6" t="str">
        <f t="shared" si="65"/>
        <v/>
      </c>
      <c r="AC340" s="6" t="str">
        <f t="shared" si="66"/>
        <v/>
      </c>
      <c r="AD340" s="6" t="str">
        <f t="shared" si="67"/>
        <v/>
      </c>
      <c r="AE340" s="6" t="str">
        <f t="shared" si="68"/>
        <v/>
      </c>
      <c r="AF340" s="6" t="str">
        <f t="shared" si="69"/>
        <v/>
      </c>
      <c r="AG340" s="6" t="str">
        <f t="shared" si="70"/>
        <v/>
      </c>
      <c r="AH340" s="6" t="str">
        <f t="shared" si="71"/>
        <v/>
      </c>
    </row>
    <row r="341" spans="1:34">
      <c r="A341" s="9"/>
      <c r="C341" s="4" t="str">
        <f>IFERROR(VLOOKUP(B341,'Code Lists'!$A:$B,2,FALSE),"")</f>
        <v/>
      </c>
      <c r="F341" s="4" t="str">
        <f>IFERROR(VLOOKUP(E341,'Code Lists'!$D:$E,2,FALSE),"")</f>
        <v/>
      </c>
      <c r="H341" s="4" t="str">
        <f>IFERROR(VLOOKUP(G341,'Code Lists'!$G:$H,2,FALSE),"")</f>
        <v/>
      </c>
      <c r="J341" s="10"/>
      <c r="M341" s="11"/>
      <c r="Q341" s="7" t="str">
        <f>IF(VedAarnaSKUMaster[[#This Row],[HSN/SAC Code]]=998822,5%,IF(VedAarnaSKUMaster[[#This Row],[HSN/SAC Code]]=998391,18%,IF(VedAarnaSKUMaster[[#This Row],[HSN/SAC Code]]=998723,5%,"")))</f>
        <v/>
      </c>
      <c r="R341" s="5" t="str">
        <f t="shared" si="61"/>
        <v/>
      </c>
      <c r="S341" s="5" t="str">
        <f t="shared" si="62"/>
        <v/>
      </c>
      <c r="T341" s="11"/>
      <c r="U341" s="8" t="str">
        <f>IF(OR(VedAarnaSKUMaster[[#This Row],[Selling Price]]="",VedAarnaSKUMaster[[#This Row],[Selling Price]]=0),"",CEILING(VedAarnaSKUMaster[[#This Row],[Selling Price]]/(1-20%),100)-1)</f>
        <v/>
      </c>
      <c r="V341">
        <f t="shared" si="72"/>
        <v>0</v>
      </c>
      <c r="W341" s="8"/>
      <c r="Z341" s="6" t="str">
        <f t="shared" si="63"/>
        <v/>
      </c>
      <c r="AA341" s="6" t="str">
        <f t="shared" si="64"/>
        <v/>
      </c>
      <c r="AB341" s="6" t="str">
        <f t="shared" si="65"/>
        <v/>
      </c>
      <c r="AC341" s="6" t="str">
        <f t="shared" si="66"/>
        <v/>
      </c>
      <c r="AD341" s="6" t="str">
        <f t="shared" si="67"/>
        <v/>
      </c>
      <c r="AE341" s="6" t="str">
        <f t="shared" si="68"/>
        <v/>
      </c>
      <c r="AF341" s="6" t="str">
        <f t="shared" si="69"/>
        <v/>
      </c>
      <c r="AG341" s="6" t="str">
        <f t="shared" si="70"/>
        <v/>
      </c>
      <c r="AH341" s="6" t="str">
        <f t="shared" si="71"/>
        <v/>
      </c>
    </row>
    <row r="342" spans="1:34">
      <c r="A342" s="9"/>
      <c r="C342" s="4" t="str">
        <f>IFERROR(VLOOKUP(B342,'Code Lists'!$A:$B,2,FALSE),"")</f>
        <v/>
      </c>
      <c r="F342" s="4" t="str">
        <f>IFERROR(VLOOKUP(E342,'Code Lists'!$D:$E,2,FALSE),"")</f>
        <v/>
      </c>
      <c r="H342" s="4" t="str">
        <f>IFERROR(VLOOKUP(G342,'Code Lists'!$G:$H,2,FALSE),"")</f>
        <v/>
      </c>
      <c r="J342" s="10"/>
      <c r="M342" s="11"/>
      <c r="Q342" s="7" t="str">
        <f>IF(VedAarnaSKUMaster[[#This Row],[HSN/SAC Code]]=998822,5%,IF(VedAarnaSKUMaster[[#This Row],[HSN/SAC Code]]=998391,18%,IF(VedAarnaSKUMaster[[#This Row],[HSN/SAC Code]]=998723,5%,"")))</f>
        <v/>
      </c>
      <c r="R342" s="5" t="str">
        <f t="shared" si="61"/>
        <v/>
      </c>
      <c r="S342" s="5" t="str">
        <f t="shared" si="62"/>
        <v/>
      </c>
      <c r="T342" s="11"/>
      <c r="U342" s="8" t="str">
        <f>IF(OR(VedAarnaSKUMaster[[#This Row],[Selling Price]]="",VedAarnaSKUMaster[[#This Row],[Selling Price]]=0),"",CEILING(VedAarnaSKUMaster[[#This Row],[Selling Price]]/(1-20%),100)-1)</f>
        <v/>
      </c>
      <c r="V342">
        <f t="shared" si="72"/>
        <v>0</v>
      </c>
      <c r="W342" s="8"/>
      <c r="Z342" s="6" t="str">
        <f t="shared" si="63"/>
        <v/>
      </c>
      <c r="AA342" s="6" t="str">
        <f t="shared" si="64"/>
        <v/>
      </c>
      <c r="AB342" s="6" t="str">
        <f t="shared" si="65"/>
        <v/>
      </c>
      <c r="AC342" s="6" t="str">
        <f t="shared" si="66"/>
        <v/>
      </c>
      <c r="AD342" s="6" t="str">
        <f t="shared" si="67"/>
        <v/>
      </c>
      <c r="AE342" s="6" t="str">
        <f t="shared" si="68"/>
        <v/>
      </c>
      <c r="AF342" s="6" t="str">
        <f t="shared" si="69"/>
        <v/>
      </c>
      <c r="AG342" s="6" t="str">
        <f t="shared" si="70"/>
        <v/>
      </c>
      <c r="AH342" s="6" t="str">
        <f t="shared" si="71"/>
        <v/>
      </c>
    </row>
    <row r="343" spans="1:34">
      <c r="A343" s="9"/>
      <c r="C343" s="4" t="str">
        <f>IFERROR(VLOOKUP(B343,'Code Lists'!$A:$B,2,FALSE),"")</f>
        <v/>
      </c>
      <c r="F343" s="4" t="str">
        <f>IFERROR(VLOOKUP(E343,'Code Lists'!$D:$E,2,FALSE),"")</f>
        <v/>
      </c>
      <c r="H343" s="4" t="str">
        <f>IFERROR(VLOOKUP(G343,'Code Lists'!$G:$H,2,FALSE),"")</f>
        <v/>
      </c>
      <c r="J343" s="10"/>
      <c r="M343" s="11"/>
      <c r="Q343" s="7" t="str">
        <f>IF(VedAarnaSKUMaster[[#This Row],[HSN/SAC Code]]=998822,5%,IF(VedAarnaSKUMaster[[#This Row],[HSN/SAC Code]]=998391,18%,IF(VedAarnaSKUMaster[[#This Row],[HSN/SAC Code]]=998723,5%,"")))</f>
        <v/>
      </c>
      <c r="R343" s="5" t="str">
        <f t="shared" si="61"/>
        <v/>
      </c>
      <c r="S343" s="5" t="str">
        <f t="shared" si="62"/>
        <v/>
      </c>
      <c r="T343" s="11"/>
      <c r="U343" s="8" t="str">
        <f>IF(OR(VedAarnaSKUMaster[[#This Row],[Selling Price]]="",VedAarnaSKUMaster[[#This Row],[Selling Price]]=0),"",CEILING(VedAarnaSKUMaster[[#This Row],[Selling Price]]/(1-20%),100)-1)</f>
        <v/>
      </c>
      <c r="V343">
        <f t="shared" si="72"/>
        <v>0</v>
      </c>
      <c r="W343" s="8"/>
      <c r="Z343" s="6" t="str">
        <f t="shared" si="63"/>
        <v/>
      </c>
      <c r="AA343" s="6" t="str">
        <f t="shared" si="64"/>
        <v/>
      </c>
      <c r="AB343" s="6" t="str">
        <f t="shared" si="65"/>
        <v/>
      </c>
      <c r="AC343" s="6" t="str">
        <f t="shared" si="66"/>
        <v/>
      </c>
      <c r="AD343" s="6" t="str">
        <f t="shared" si="67"/>
        <v/>
      </c>
      <c r="AE343" s="6" t="str">
        <f t="shared" si="68"/>
        <v/>
      </c>
      <c r="AF343" s="6" t="str">
        <f t="shared" si="69"/>
        <v/>
      </c>
      <c r="AG343" s="6" t="str">
        <f t="shared" si="70"/>
        <v/>
      </c>
      <c r="AH343" s="6" t="str">
        <f t="shared" si="71"/>
        <v/>
      </c>
    </row>
    <row r="344" spans="1:34">
      <c r="A344" s="9"/>
      <c r="C344" s="4" t="str">
        <f>IFERROR(VLOOKUP(B344,'Code Lists'!$A:$B,2,FALSE),"")</f>
        <v/>
      </c>
      <c r="F344" s="4" t="str">
        <f>IFERROR(VLOOKUP(E344,'Code Lists'!$D:$E,2,FALSE),"")</f>
        <v/>
      </c>
      <c r="H344" s="4" t="str">
        <f>IFERROR(VLOOKUP(G344,'Code Lists'!$G:$H,2,FALSE),"")</f>
        <v/>
      </c>
      <c r="J344" s="10"/>
      <c r="M344" s="11"/>
      <c r="Q344" s="7" t="str">
        <f>IF(VedAarnaSKUMaster[[#This Row],[HSN/SAC Code]]=998822,5%,IF(VedAarnaSKUMaster[[#This Row],[HSN/SAC Code]]=998391,18%,IF(VedAarnaSKUMaster[[#This Row],[HSN/SAC Code]]=998723,5%,"")))</f>
        <v/>
      </c>
      <c r="R344" s="5" t="str">
        <f t="shared" si="61"/>
        <v/>
      </c>
      <c r="S344" s="5" t="str">
        <f t="shared" si="62"/>
        <v/>
      </c>
      <c r="T344" s="11"/>
      <c r="U344" s="8" t="str">
        <f>IF(OR(VedAarnaSKUMaster[[#This Row],[Selling Price]]="",VedAarnaSKUMaster[[#This Row],[Selling Price]]=0),"",CEILING(VedAarnaSKUMaster[[#This Row],[Selling Price]]/(1-20%),100)-1)</f>
        <v/>
      </c>
      <c r="V344">
        <f t="shared" si="72"/>
        <v>0</v>
      </c>
      <c r="W344" s="8"/>
      <c r="Z344" s="6" t="str">
        <f t="shared" si="63"/>
        <v/>
      </c>
      <c r="AA344" s="6" t="str">
        <f t="shared" si="64"/>
        <v/>
      </c>
      <c r="AB344" s="6" t="str">
        <f t="shared" si="65"/>
        <v/>
      </c>
      <c r="AC344" s="6" t="str">
        <f t="shared" si="66"/>
        <v/>
      </c>
      <c r="AD344" s="6" t="str">
        <f t="shared" si="67"/>
        <v/>
      </c>
      <c r="AE344" s="6" t="str">
        <f t="shared" si="68"/>
        <v/>
      </c>
      <c r="AF344" s="6" t="str">
        <f t="shared" si="69"/>
        <v/>
      </c>
      <c r="AG344" s="6" t="str">
        <f t="shared" si="70"/>
        <v/>
      </c>
      <c r="AH344" s="6" t="str">
        <f t="shared" si="71"/>
        <v/>
      </c>
    </row>
    <row r="345" spans="1:34">
      <c r="A345" s="9"/>
      <c r="C345" s="4" t="str">
        <f>IFERROR(VLOOKUP(B345,'Code Lists'!$A:$B,2,FALSE),"")</f>
        <v/>
      </c>
      <c r="F345" s="4" t="str">
        <f>IFERROR(VLOOKUP(E345,'Code Lists'!$D:$E,2,FALSE),"")</f>
        <v/>
      </c>
      <c r="H345" s="4" t="str">
        <f>IFERROR(VLOOKUP(G345,'Code Lists'!$G:$H,2,FALSE),"")</f>
        <v/>
      </c>
      <c r="J345" s="10"/>
      <c r="M345" s="11"/>
      <c r="Q345" s="7" t="str">
        <f>IF(VedAarnaSKUMaster[[#This Row],[HSN/SAC Code]]=998822,5%,IF(VedAarnaSKUMaster[[#This Row],[HSN/SAC Code]]=998391,18%,IF(VedAarnaSKUMaster[[#This Row],[HSN/SAC Code]]=998723,5%,"")))</f>
        <v/>
      </c>
      <c r="R345" s="5" t="str">
        <f t="shared" si="61"/>
        <v/>
      </c>
      <c r="S345" s="5" t="str">
        <f t="shared" si="62"/>
        <v/>
      </c>
      <c r="T345" s="11"/>
      <c r="U345" s="8" t="str">
        <f>IF(OR(VedAarnaSKUMaster[[#This Row],[Selling Price]]="",VedAarnaSKUMaster[[#This Row],[Selling Price]]=0),"",CEILING(VedAarnaSKUMaster[[#This Row],[Selling Price]]/(1-20%),100)-1)</f>
        <v/>
      </c>
      <c r="V345">
        <f t="shared" si="72"/>
        <v>0</v>
      </c>
      <c r="W345" s="8"/>
      <c r="Z345" s="6" t="str">
        <f t="shared" si="63"/>
        <v/>
      </c>
      <c r="AA345" s="6" t="str">
        <f t="shared" si="64"/>
        <v/>
      </c>
      <c r="AB345" s="6" t="str">
        <f t="shared" si="65"/>
        <v/>
      </c>
      <c r="AC345" s="6" t="str">
        <f t="shared" si="66"/>
        <v/>
      </c>
      <c r="AD345" s="6" t="str">
        <f t="shared" si="67"/>
        <v/>
      </c>
      <c r="AE345" s="6" t="str">
        <f t="shared" si="68"/>
        <v/>
      </c>
      <c r="AF345" s="6" t="str">
        <f t="shared" si="69"/>
        <v/>
      </c>
      <c r="AG345" s="6" t="str">
        <f t="shared" si="70"/>
        <v/>
      </c>
      <c r="AH345" s="6" t="str">
        <f t="shared" si="71"/>
        <v/>
      </c>
    </row>
    <row r="346" spans="1:34">
      <c r="A346" s="9"/>
      <c r="C346" s="4" t="str">
        <f>IFERROR(VLOOKUP(B346,'Code Lists'!$A:$B,2,FALSE),"")</f>
        <v/>
      </c>
      <c r="F346" s="4" t="str">
        <f>IFERROR(VLOOKUP(E346,'Code Lists'!$D:$E,2,FALSE),"")</f>
        <v/>
      </c>
      <c r="H346" s="4" t="str">
        <f>IFERROR(VLOOKUP(G346,'Code Lists'!$G:$H,2,FALSE),"")</f>
        <v/>
      </c>
      <c r="J346" s="10"/>
      <c r="M346" s="11"/>
      <c r="Q346" s="7" t="str">
        <f>IF(VedAarnaSKUMaster[[#This Row],[HSN/SAC Code]]=998822,5%,IF(VedAarnaSKUMaster[[#This Row],[HSN/SAC Code]]=998391,18%,IF(VedAarnaSKUMaster[[#This Row],[HSN/SAC Code]]=998723,5%,"")))</f>
        <v/>
      </c>
      <c r="R346" s="5" t="str">
        <f t="shared" si="61"/>
        <v/>
      </c>
      <c r="S346" s="5" t="str">
        <f t="shared" si="62"/>
        <v/>
      </c>
      <c r="T346" s="11"/>
      <c r="U346" s="8" t="str">
        <f>IF(OR(VedAarnaSKUMaster[[#This Row],[Selling Price]]="",VedAarnaSKUMaster[[#This Row],[Selling Price]]=0),"",CEILING(VedAarnaSKUMaster[[#This Row],[Selling Price]]/(1-20%),100)-1)</f>
        <v/>
      </c>
      <c r="V346">
        <f t="shared" si="72"/>
        <v>0</v>
      </c>
      <c r="W346" s="8"/>
      <c r="Z346" s="6" t="str">
        <f t="shared" si="63"/>
        <v/>
      </c>
      <c r="AA346" s="6" t="str">
        <f t="shared" si="64"/>
        <v/>
      </c>
      <c r="AB346" s="6" t="str">
        <f t="shared" si="65"/>
        <v/>
      </c>
      <c r="AC346" s="6" t="str">
        <f t="shared" si="66"/>
        <v/>
      </c>
      <c r="AD346" s="6" t="str">
        <f t="shared" si="67"/>
        <v/>
      </c>
      <c r="AE346" s="6" t="str">
        <f t="shared" si="68"/>
        <v/>
      </c>
      <c r="AF346" s="6" t="str">
        <f t="shared" si="69"/>
        <v/>
      </c>
      <c r="AG346" s="6" t="str">
        <f t="shared" si="70"/>
        <v/>
      </c>
      <c r="AH346" s="6" t="str">
        <f t="shared" si="71"/>
        <v/>
      </c>
    </row>
    <row r="347" spans="1:34">
      <c r="A347" s="9"/>
      <c r="C347" s="4" t="str">
        <f>IFERROR(VLOOKUP(B347,'Code Lists'!$A:$B,2,FALSE),"")</f>
        <v/>
      </c>
      <c r="F347" s="4" t="str">
        <f>IFERROR(VLOOKUP(E347,'Code Lists'!$D:$E,2,FALSE),"")</f>
        <v/>
      </c>
      <c r="H347" s="4" t="str">
        <f>IFERROR(VLOOKUP(G347,'Code Lists'!$G:$H,2,FALSE),"")</f>
        <v/>
      </c>
      <c r="J347" s="10"/>
      <c r="M347" s="11"/>
      <c r="Q347" s="7" t="str">
        <f>IF(VedAarnaSKUMaster[[#This Row],[HSN/SAC Code]]=998822,5%,IF(VedAarnaSKUMaster[[#This Row],[HSN/SAC Code]]=998391,18%,IF(VedAarnaSKUMaster[[#This Row],[HSN/SAC Code]]=998723,5%,"")))</f>
        <v/>
      </c>
      <c r="R347" s="5" t="str">
        <f t="shared" si="61"/>
        <v/>
      </c>
      <c r="S347" s="5" t="str">
        <f t="shared" si="62"/>
        <v/>
      </c>
      <c r="T347" s="11"/>
      <c r="U347" s="8" t="str">
        <f>IF(OR(VedAarnaSKUMaster[[#This Row],[Selling Price]]="",VedAarnaSKUMaster[[#This Row],[Selling Price]]=0),"",CEILING(VedAarnaSKUMaster[[#This Row],[Selling Price]]/(1-20%),100)-1)</f>
        <v/>
      </c>
      <c r="V347">
        <f t="shared" si="72"/>
        <v>0</v>
      </c>
      <c r="W347" s="8"/>
      <c r="Z347" s="6" t="str">
        <f t="shared" si="63"/>
        <v/>
      </c>
      <c r="AA347" s="6" t="str">
        <f t="shared" si="64"/>
        <v/>
      </c>
      <c r="AB347" s="6" t="str">
        <f t="shared" si="65"/>
        <v/>
      </c>
      <c r="AC347" s="6" t="str">
        <f t="shared" si="66"/>
        <v/>
      </c>
      <c r="AD347" s="6" t="str">
        <f t="shared" si="67"/>
        <v/>
      </c>
      <c r="AE347" s="6" t="str">
        <f t="shared" si="68"/>
        <v/>
      </c>
      <c r="AF347" s="6" t="str">
        <f t="shared" si="69"/>
        <v/>
      </c>
      <c r="AG347" s="6" t="str">
        <f t="shared" si="70"/>
        <v/>
      </c>
      <c r="AH347" s="6" t="str">
        <f t="shared" si="71"/>
        <v/>
      </c>
    </row>
    <row r="348" spans="1:34">
      <c r="A348" s="9"/>
      <c r="C348" s="4" t="str">
        <f>IFERROR(VLOOKUP(B348,'Code Lists'!$A:$B,2,FALSE),"")</f>
        <v/>
      </c>
      <c r="F348" s="4" t="str">
        <f>IFERROR(VLOOKUP(E348,'Code Lists'!$D:$E,2,FALSE),"")</f>
        <v/>
      </c>
      <c r="H348" s="4" t="str">
        <f>IFERROR(VLOOKUP(G348,'Code Lists'!$G:$H,2,FALSE),"")</f>
        <v/>
      </c>
      <c r="J348" s="10"/>
      <c r="M348" s="11"/>
      <c r="Q348" s="7" t="str">
        <f>IF(VedAarnaSKUMaster[[#This Row],[HSN/SAC Code]]=998822,5%,IF(VedAarnaSKUMaster[[#This Row],[HSN/SAC Code]]=998391,18%,IF(VedAarnaSKUMaster[[#This Row],[HSN/SAC Code]]=998723,5%,"")))</f>
        <v/>
      </c>
      <c r="R348" s="5" t="str">
        <f t="shared" si="61"/>
        <v/>
      </c>
      <c r="S348" s="5" t="str">
        <f t="shared" si="62"/>
        <v/>
      </c>
      <c r="T348" s="11"/>
      <c r="U348" s="8" t="str">
        <f>IF(OR(VedAarnaSKUMaster[[#This Row],[Selling Price]]="",VedAarnaSKUMaster[[#This Row],[Selling Price]]=0),"",CEILING(VedAarnaSKUMaster[[#This Row],[Selling Price]]/(1-20%),100)-1)</f>
        <v/>
      </c>
      <c r="V348">
        <f t="shared" si="72"/>
        <v>0</v>
      </c>
      <c r="W348" s="8"/>
      <c r="Z348" s="6" t="str">
        <f t="shared" si="63"/>
        <v/>
      </c>
      <c r="AA348" s="6" t="str">
        <f t="shared" si="64"/>
        <v/>
      </c>
      <c r="AB348" s="6" t="str">
        <f t="shared" si="65"/>
        <v/>
      </c>
      <c r="AC348" s="6" t="str">
        <f t="shared" si="66"/>
        <v/>
      </c>
      <c r="AD348" s="6" t="str">
        <f t="shared" si="67"/>
        <v/>
      </c>
      <c r="AE348" s="6" t="str">
        <f t="shared" si="68"/>
        <v/>
      </c>
      <c r="AF348" s="6" t="str">
        <f t="shared" si="69"/>
        <v/>
      </c>
      <c r="AG348" s="6" t="str">
        <f t="shared" si="70"/>
        <v/>
      </c>
      <c r="AH348" s="6" t="str">
        <f t="shared" si="71"/>
        <v/>
      </c>
    </row>
    <row r="349" spans="1:34">
      <c r="A349" s="9"/>
      <c r="C349" s="4" t="str">
        <f>IFERROR(VLOOKUP(B349,'Code Lists'!$A:$B,2,FALSE),"")</f>
        <v/>
      </c>
      <c r="F349" s="4" t="str">
        <f>IFERROR(VLOOKUP(E349,'Code Lists'!$D:$E,2,FALSE),"")</f>
        <v/>
      </c>
      <c r="H349" s="4" t="str">
        <f>IFERROR(VLOOKUP(G349,'Code Lists'!$G:$H,2,FALSE),"")</f>
        <v/>
      </c>
      <c r="J349" s="10"/>
      <c r="M349" s="11"/>
      <c r="Q349" s="7" t="str">
        <f>IF(VedAarnaSKUMaster[[#This Row],[HSN/SAC Code]]=998822,5%,IF(VedAarnaSKUMaster[[#This Row],[HSN/SAC Code]]=998391,18%,IF(VedAarnaSKUMaster[[#This Row],[HSN/SAC Code]]=998723,5%,"")))</f>
        <v/>
      </c>
      <c r="R349" s="5" t="str">
        <f t="shared" si="61"/>
        <v/>
      </c>
      <c r="S349" s="5" t="str">
        <f t="shared" si="62"/>
        <v/>
      </c>
      <c r="T349" s="11"/>
      <c r="U349" s="8" t="str">
        <f>IF(OR(VedAarnaSKUMaster[[#This Row],[Selling Price]]="",VedAarnaSKUMaster[[#This Row],[Selling Price]]=0),"",CEILING(VedAarnaSKUMaster[[#This Row],[Selling Price]]/(1-20%),100)-1)</f>
        <v/>
      </c>
      <c r="V349">
        <f t="shared" si="72"/>
        <v>0</v>
      </c>
      <c r="W349" s="8"/>
      <c r="Z349" s="6" t="str">
        <f t="shared" si="63"/>
        <v/>
      </c>
      <c r="AA349" s="6" t="str">
        <f t="shared" si="64"/>
        <v/>
      </c>
      <c r="AB349" s="6" t="str">
        <f t="shared" si="65"/>
        <v/>
      </c>
      <c r="AC349" s="6" t="str">
        <f t="shared" si="66"/>
        <v/>
      </c>
      <c r="AD349" s="6" t="str">
        <f t="shared" si="67"/>
        <v/>
      </c>
      <c r="AE349" s="6" t="str">
        <f t="shared" si="68"/>
        <v/>
      </c>
      <c r="AF349" s="6" t="str">
        <f t="shared" si="69"/>
        <v/>
      </c>
      <c r="AG349" s="6" t="str">
        <f t="shared" si="70"/>
        <v/>
      </c>
      <c r="AH349" s="6" t="str">
        <f t="shared" si="71"/>
        <v/>
      </c>
    </row>
    <row r="350" spans="1:34">
      <c r="A350" s="9"/>
      <c r="C350" s="4" t="str">
        <f>IFERROR(VLOOKUP(B350,'Code Lists'!$A:$B,2,FALSE),"")</f>
        <v/>
      </c>
      <c r="F350" s="4" t="str">
        <f>IFERROR(VLOOKUP(E350,'Code Lists'!$D:$E,2,FALSE),"")</f>
        <v/>
      </c>
      <c r="H350" s="4" t="str">
        <f>IFERROR(VLOOKUP(G350,'Code Lists'!$G:$H,2,FALSE),"")</f>
        <v/>
      </c>
      <c r="J350" s="10"/>
      <c r="M350" s="11"/>
      <c r="Q350" s="7" t="str">
        <f>IF(VedAarnaSKUMaster[[#This Row],[HSN/SAC Code]]=998822,5%,IF(VedAarnaSKUMaster[[#This Row],[HSN/SAC Code]]=998391,18%,IF(VedAarnaSKUMaster[[#This Row],[HSN/SAC Code]]=998723,5%,"")))</f>
        <v/>
      </c>
      <c r="R350" s="5" t="str">
        <f t="shared" si="61"/>
        <v/>
      </c>
      <c r="S350" s="5" t="str">
        <f t="shared" si="62"/>
        <v/>
      </c>
      <c r="T350" s="11"/>
      <c r="U350" s="8" t="str">
        <f>IF(OR(VedAarnaSKUMaster[[#This Row],[Selling Price]]="",VedAarnaSKUMaster[[#This Row],[Selling Price]]=0),"",CEILING(VedAarnaSKUMaster[[#This Row],[Selling Price]]/(1-20%),100)-1)</f>
        <v/>
      </c>
      <c r="V350">
        <f t="shared" si="72"/>
        <v>0</v>
      </c>
      <c r="W350" s="8"/>
      <c r="Z350" s="6" t="str">
        <f t="shared" si="63"/>
        <v/>
      </c>
      <c r="AA350" s="6" t="str">
        <f t="shared" si="64"/>
        <v/>
      </c>
      <c r="AB350" s="6" t="str">
        <f t="shared" si="65"/>
        <v/>
      </c>
      <c r="AC350" s="6" t="str">
        <f t="shared" si="66"/>
        <v/>
      </c>
      <c r="AD350" s="6" t="str">
        <f t="shared" si="67"/>
        <v/>
      </c>
      <c r="AE350" s="6" t="str">
        <f t="shared" si="68"/>
        <v/>
      </c>
      <c r="AF350" s="6" t="str">
        <f t="shared" si="69"/>
        <v/>
      </c>
      <c r="AG350" s="6" t="str">
        <f t="shared" si="70"/>
        <v/>
      </c>
      <c r="AH350" s="6" t="str">
        <f t="shared" si="71"/>
        <v/>
      </c>
    </row>
    <row r="351" spans="1:34">
      <c r="A351" s="9"/>
      <c r="C351" s="4" t="str">
        <f>IFERROR(VLOOKUP(B351,'Code Lists'!$A:$B,2,FALSE),"")</f>
        <v/>
      </c>
      <c r="F351" s="4" t="str">
        <f>IFERROR(VLOOKUP(E351,'Code Lists'!$D:$E,2,FALSE),"")</f>
        <v/>
      </c>
      <c r="H351" s="4" t="str">
        <f>IFERROR(VLOOKUP(G351,'Code Lists'!$G:$H,2,FALSE),"")</f>
        <v/>
      </c>
      <c r="J351" s="10"/>
      <c r="M351" s="11"/>
      <c r="Q351" s="7" t="str">
        <f>IF(VedAarnaSKUMaster[[#This Row],[HSN/SAC Code]]=998822,5%,IF(VedAarnaSKUMaster[[#This Row],[HSN/SAC Code]]=998391,18%,IF(VedAarnaSKUMaster[[#This Row],[HSN/SAC Code]]=998723,5%,"")))</f>
        <v/>
      </c>
      <c r="R351" s="5" t="str">
        <f t="shared" si="61"/>
        <v/>
      </c>
      <c r="S351" s="5" t="str">
        <f t="shared" si="62"/>
        <v/>
      </c>
      <c r="T351" s="11"/>
      <c r="U351" s="8" t="str">
        <f>IF(OR(VedAarnaSKUMaster[[#This Row],[Selling Price]]="",VedAarnaSKUMaster[[#This Row],[Selling Price]]=0),"",CEILING(VedAarnaSKUMaster[[#This Row],[Selling Price]]/(1-20%),100)-1)</f>
        <v/>
      </c>
      <c r="V351">
        <f t="shared" si="72"/>
        <v>0</v>
      </c>
      <c r="W351" s="8"/>
      <c r="Z351" s="6" t="str">
        <f t="shared" si="63"/>
        <v/>
      </c>
      <c r="AA351" s="6" t="str">
        <f t="shared" si="64"/>
        <v/>
      </c>
      <c r="AB351" s="6" t="str">
        <f t="shared" si="65"/>
        <v/>
      </c>
      <c r="AC351" s="6" t="str">
        <f t="shared" si="66"/>
        <v/>
      </c>
      <c r="AD351" s="6" t="str">
        <f t="shared" si="67"/>
        <v/>
      </c>
      <c r="AE351" s="6" t="str">
        <f t="shared" si="68"/>
        <v/>
      </c>
      <c r="AF351" s="6" t="str">
        <f t="shared" si="69"/>
        <v/>
      </c>
      <c r="AG351" s="6" t="str">
        <f t="shared" si="70"/>
        <v/>
      </c>
      <c r="AH351" s="6" t="str">
        <f t="shared" si="71"/>
        <v/>
      </c>
    </row>
    <row r="352" spans="1:34">
      <c r="A352" s="9"/>
      <c r="C352" s="4" t="str">
        <f>IFERROR(VLOOKUP(B352,'Code Lists'!$A:$B,2,FALSE),"")</f>
        <v/>
      </c>
      <c r="F352" s="4" t="str">
        <f>IFERROR(VLOOKUP(E352,'Code Lists'!$D:$E,2,FALSE),"")</f>
        <v/>
      </c>
      <c r="H352" s="4" t="str">
        <f>IFERROR(VLOOKUP(G352,'Code Lists'!$G:$H,2,FALSE),"")</f>
        <v/>
      </c>
      <c r="J352" s="10"/>
      <c r="M352" s="11"/>
      <c r="Q352" s="7" t="str">
        <f>IF(VedAarnaSKUMaster[[#This Row],[HSN/SAC Code]]=998822,5%,IF(VedAarnaSKUMaster[[#This Row],[HSN/SAC Code]]=998391,18%,IF(VedAarnaSKUMaster[[#This Row],[HSN/SAC Code]]=998723,5%,"")))</f>
        <v/>
      </c>
      <c r="R352" s="5" t="str">
        <f t="shared" si="61"/>
        <v/>
      </c>
      <c r="S352" s="5" t="str">
        <f t="shared" si="62"/>
        <v/>
      </c>
      <c r="T352" s="11"/>
      <c r="U352" s="8" t="str">
        <f>IF(OR(VedAarnaSKUMaster[[#This Row],[Selling Price]]="",VedAarnaSKUMaster[[#This Row],[Selling Price]]=0),"",CEILING(VedAarnaSKUMaster[[#This Row],[Selling Price]]/(1-20%),100)-1)</f>
        <v/>
      </c>
      <c r="V352">
        <f t="shared" si="72"/>
        <v>0</v>
      </c>
      <c r="W352" s="8"/>
      <c r="Z352" s="6" t="str">
        <f t="shared" si="63"/>
        <v/>
      </c>
      <c r="AA352" s="6" t="str">
        <f t="shared" si="64"/>
        <v/>
      </c>
      <c r="AB352" s="6" t="str">
        <f t="shared" si="65"/>
        <v/>
      </c>
      <c r="AC352" s="6" t="str">
        <f t="shared" si="66"/>
        <v/>
      </c>
      <c r="AD352" s="6" t="str">
        <f t="shared" si="67"/>
        <v/>
      </c>
      <c r="AE352" s="6" t="str">
        <f t="shared" si="68"/>
        <v/>
      </c>
      <c r="AF352" s="6" t="str">
        <f t="shared" si="69"/>
        <v/>
      </c>
      <c r="AG352" s="6" t="str">
        <f t="shared" si="70"/>
        <v/>
      </c>
      <c r="AH352" s="6" t="str">
        <f t="shared" si="71"/>
        <v/>
      </c>
    </row>
    <row r="353" spans="1:34">
      <c r="A353" s="9"/>
      <c r="C353" s="4" t="str">
        <f>IFERROR(VLOOKUP(B353,'Code Lists'!$A:$B,2,FALSE),"")</f>
        <v/>
      </c>
      <c r="F353" s="4" t="str">
        <f>IFERROR(VLOOKUP(E353,'Code Lists'!$D:$E,2,FALSE),"")</f>
        <v/>
      </c>
      <c r="H353" s="4" t="str">
        <f>IFERROR(VLOOKUP(G353,'Code Lists'!$G:$H,2,FALSE),"")</f>
        <v/>
      </c>
      <c r="J353" s="10"/>
      <c r="M353" s="11"/>
      <c r="Q353" s="7" t="str">
        <f>IF(VedAarnaSKUMaster[[#This Row],[HSN/SAC Code]]=998822,5%,IF(VedAarnaSKUMaster[[#This Row],[HSN/SAC Code]]=998391,18%,IF(VedAarnaSKUMaster[[#This Row],[HSN/SAC Code]]=998723,5%,"")))</f>
        <v/>
      </c>
      <c r="R353" s="5" t="str">
        <f t="shared" si="61"/>
        <v/>
      </c>
      <c r="S353" s="5" t="str">
        <f t="shared" si="62"/>
        <v/>
      </c>
      <c r="T353" s="11"/>
      <c r="U353" s="8" t="str">
        <f>IF(OR(VedAarnaSKUMaster[[#This Row],[Selling Price]]="",VedAarnaSKUMaster[[#This Row],[Selling Price]]=0),"",CEILING(VedAarnaSKUMaster[[#This Row],[Selling Price]]/(1-20%),100)-1)</f>
        <v/>
      </c>
      <c r="V353">
        <f t="shared" si="72"/>
        <v>0</v>
      </c>
      <c r="W353" s="8"/>
      <c r="Z353" s="6" t="str">
        <f t="shared" si="63"/>
        <v/>
      </c>
      <c r="AA353" s="6" t="str">
        <f t="shared" si="64"/>
        <v/>
      </c>
      <c r="AB353" s="6" t="str">
        <f t="shared" si="65"/>
        <v/>
      </c>
      <c r="AC353" s="6" t="str">
        <f t="shared" si="66"/>
        <v/>
      </c>
      <c r="AD353" s="6" t="str">
        <f t="shared" si="67"/>
        <v/>
      </c>
      <c r="AE353" s="6" t="str">
        <f t="shared" si="68"/>
        <v/>
      </c>
      <c r="AF353" s="6" t="str">
        <f t="shared" si="69"/>
        <v/>
      </c>
      <c r="AG353" s="6" t="str">
        <f t="shared" si="70"/>
        <v/>
      </c>
      <c r="AH353" s="6" t="str">
        <f t="shared" si="71"/>
        <v/>
      </c>
    </row>
    <row r="354" spans="1:34">
      <c r="A354" s="9"/>
      <c r="C354" s="4" t="str">
        <f>IFERROR(VLOOKUP(B354,'Code Lists'!$A:$B,2,FALSE),"")</f>
        <v/>
      </c>
      <c r="F354" s="4" t="str">
        <f>IFERROR(VLOOKUP(E354,'Code Lists'!$D:$E,2,FALSE),"")</f>
        <v/>
      </c>
      <c r="H354" s="4" t="str">
        <f>IFERROR(VLOOKUP(G354,'Code Lists'!$G:$H,2,FALSE),"")</f>
        <v/>
      </c>
      <c r="J354" s="10"/>
      <c r="M354" s="11"/>
      <c r="Q354" s="7" t="str">
        <f>IF(VedAarnaSKUMaster[[#This Row],[HSN/SAC Code]]=998822,5%,IF(VedAarnaSKUMaster[[#This Row],[HSN/SAC Code]]=998391,18%,IF(VedAarnaSKUMaster[[#This Row],[HSN/SAC Code]]=998723,5%,"")))</f>
        <v/>
      </c>
      <c r="R354" s="5" t="str">
        <f t="shared" si="61"/>
        <v/>
      </c>
      <c r="S354" s="5" t="str">
        <f t="shared" si="62"/>
        <v/>
      </c>
      <c r="T354" s="11"/>
      <c r="U354" s="8" t="str">
        <f>IF(OR(VedAarnaSKUMaster[[#This Row],[Selling Price]]="",VedAarnaSKUMaster[[#This Row],[Selling Price]]=0),"",CEILING(VedAarnaSKUMaster[[#This Row],[Selling Price]]/(1-20%),100)-1)</f>
        <v/>
      </c>
      <c r="V354">
        <f t="shared" si="72"/>
        <v>0</v>
      </c>
      <c r="W354" s="8"/>
      <c r="Z354" s="6" t="str">
        <f t="shared" si="63"/>
        <v/>
      </c>
      <c r="AA354" s="6" t="str">
        <f t="shared" si="64"/>
        <v/>
      </c>
      <c r="AB354" s="6" t="str">
        <f t="shared" si="65"/>
        <v/>
      </c>
      <c r="AC354" s="6" t="str">
        <f t="shared" si="66"/>
        <v/>
      </c>
      <c r="AD354" s="6" t="str">
        <f t="shared" si="67"/>
        <v/>
      </c>
      <c r="AE354" s="6" t="str">
        <f t="shared" si="68"/>
        <v/>
      </c>
      <c r="AF354" s="6" t="str">
        <f t="shared" si="69"/>
        <v/>
      </c>
      <c r="AG354" s="6" t="str">
        <f t="shared" si="70"/>
        <v/>
      </c>
      <c r="AH354" s="6" t="str">
        <f t="shared" si="71"/>
        <v/>
      </c>
    </row>
    <row r="355" spans="1:34">
      <c r="A355" s="9"/>
      <c r="C355" s="4" t="str">
        <f>IFERROR(VLOOKUP(B355,'Code Lists'!$A:$B,2,FALSE),"")</f>
        <v/>
      </c>
      <c r="F355" s="4" t="str">
        <f>IFERROR(VLOOKUP(E355,'Code Lists'!$D:$E,2,FALSE),"")</f>
        <v/>
      </c>
      <c r="H355" s="4" t="str">
        <f>IFERROR(VLOOKUP(G355,'Code Lists'!$G:$H,2,FALSE),"")</f>
        <v/>
      </c>
      <c r="J355" s="10"/>
      <c r="M355" s="11"/>
      <c r="Q355" s="7" t="str">
        <f>IF(VedAarnaSKUMaster[[#This Row],[HSN/SAC Code]]=998822,5%,IF(VedAarnaSKUMaster[[#This Row],[HSN/SAC Code]]=998391,18%,IF(VedAarnaSKUMaster[[#This Row],[HSN/SAC Code]]=998723,5%,"")))</f>
        <v/>
      </c>
      <c r="R355" s="5" t="str">
        <f t="shared" si="61"/>
        <v/>
      </c>
      <c r="S355" s="5" t="str">
        <f t="shared" si="62"/>
        <v/>
      </c>
      <c r="T355" s="11"/>
      <c r="U355" s="8" t="str">
        <f>IF(OR(VedAarnaSKUMaster[[#This Row],[Selling Price]]="",VedAarnaSKUMaster[[#This Row],[Selling Price]]=0),"",CEILING(VedAarnaSKUMaster[[#This Row],[Selling Price]]/(1-20%),100)-1)</f>
        <v/>
      </c>
      <c r="V355">
        <f t="shared" si="72"/>
        <v>0</v>
      </c>
      <c r="W355" s="8"/>
      <c r="Z355" s="6" t="str">
        <f t="shared" si="63"/>
        <v/>
      </c>
      <c r="AA355" s="6" t="str">
        <f t="shared" si="64"/>
        <v/>
      </c>
      <c r="AB355" s="6" t="str">
        <f t="shared" si="65"/>
        <v/>
      </c>
      <c r="AC355" s="6" t="str">
        <f t="shared" si="66"/>
        <v/>
      </c>
      <c r="AD355" s="6" t="str">
        <f t="shared" si="67"/>
        <v/>
      </c>
      <c r="AE355" s="6" t="str">
        <f t="shared" si="68"/>
        <v/>
      </c>
      <c r="AF355" s="6" t="str">
        <f t="shared" si="69"/>
        <v/>
      </c>
      <c r="AG355" s="6" t="str">
        <f t="shared" si="70"/>
        <v/>
      </c>
      <c r="AH355" s="6" t="str">
        <f t="shared" si="71"/>
        <v/>
      </c>
    </row>
    <row r="356" spans="1:34">
      <c r="A356" s="9"/>
      <c r="C356" s="4" t="str">
        <f>IFERROR(VLOOKUP(B356,'Code Lists'!$A:$B,2,FALSE),"")</f>
        <v/>
      </c>
      <c r="F356" s="4" t="str">
        <f>IFERROR(VLOOKUP(E356,'Code Lists'!$D:$E,2,FALSE),"")</f>
        <v/>
      </c>
      <c r="H356" s="4" t="str">
        <f>IFERROR(VLOOKUP(G356,'Code Lists'!$G:$H,2,FALSE),"")</f>
        <v/>
      </c>
      <c r="J356" s="10"/>
      <c r="M356" s="11"/>
      <c r="Q356" s="7" t="str">
        <f>IF(VedAarnaSKUMaster[[#This Row],[HSN/SAC Code]]=998822,5%,IF(VedAarnaSKUMaster[[#This Row],[HSN/SAC Code]]=998391,18%,IF(VedAarnaSKUMaster[[#This Row],[HSN/SAC Code]]=998723,5%,"")))</f>
        <v/>
      </c>
      <c r="R356" s="5" t="str">
        <f t="shared" si="61"/>
        <v/>
      </c>
      <c r="S356" s="5" t="str">
        <f t="shared" si="62"/>
        <v/>
      </c>
      <c r="T356" s="11"/>
      <c r="U356" s="8" t="str">
        <f>IF(OR(VedAarnaSKUMaster[[#This Row],[Selling Price]]="",VedAarnaSKUMaster[[#This Row],[Selling Price]]=0),"",CEILING(VedAarnaSKUMaster[[#This Row],[Selling Price]]/(1-20%),100)-1)</f>
        <v/>
      </c>
      <c r="V356">
        <f t="shared" si="72"/>
        <v>0</v>
      </c>
      <c r="W356" s="8"/>
      <c r="Z356" s="6" t="str">
        <f t="shared" si="63"/>
        <v/>
      </c>
      <c r="AA356" s="6" t="str">
        <f t="shared" si="64"/>
        <v/>
      </c>
      <c r="AB356" s="6" t="str">
        <f t="shared" si="65"/>
        <v/>
      </c>
      <c r="AC356" s="6" t="str">
        <f t="shared" si="66"/>
        <v/>
      </c>
      <c r="AD356" s="6" t="str">
        <f t="shared" si="67"/>
        <v/>
      </c>
      <c r="AE356" s="6" t="str">
        <f t="shared" si="68"/>
        <v/>
      </c>
      <c r="AF356" s="6" t="str">
        <f t="shared" si="69"/>
        <v/>
      </c>
      <c r="AG356" s="6" t="str">
        <f t="shared" si="70"/>
        <v/>
      </c>
      <c r="AH356" s="6" t="str">
        <f t="shared" si="71"/>
        <v/>
      </c>
    </row>
    <row r="357" spans="1:34">
      <c r="A357" s="9"/>
      <c r="C357" s="4" t="str">
        <f>IFERROR(VLOOKUP(B357,'Code Lists'!$A:$B,2,FALSE),"")</f>
        <v/>
      </c>
      <c r="F357" s="4" t="str">
        <f>IFERROR(VLOOKUP(E357,'Code Lists'!$D:$E,2,FALSE),"")</f>
        <v/>
      </c>
      <c r="H357" s="4" t="str">
        <f>IFERROR(VLOOKUP(G357,'Code Lists'!$G:$H,2,FALSE),"")</f>
        <v/>
      </c>
      <c r="J357" s="10"/>
      <c r="M357" s="11"/>
      <c r="Q357" s="7" t="str">
        <f>IF(VedAarnaSKUMaster[[#This Row],[HSN/SAC Code]]=998822,5%,IF(VedAarnaSKUMaster[[#This Row],[HSN/SAC Code]]=998391,18%,IF(VedAarnaSKUMaster[[#This Row],[HSN/SAC Code]]=998723,5%,"")))</f>
        <v/>
      </c>
      <c r="R357" s="5" t="str">
        <f t="shared" si="61"/>
        <v/>
      </c>
      <c r="S357" s="5" t="str">
        <f t="shared" si="62"/>
        <v/>
      </c>
      <c r="T357" s="11"/>
      <c r="U357" s="8" t="str">
        <f>IF(OR(VedAarnaSKUMaster[[#This Row],[Selling Price]]="",VedAarnaSKUMaster[[#This Row],[Selling Price]]=0),"",CEILING(VedAarnaSKUMaster[[#This Row],[Selling Price]]/(1-20%),100)-1)</f>
        <v/>
      </c>
      <c r="V357">
        <f t="shared" si="72"/>
        <v>0</v>
      </c>
      <c r="W357" s="8"/>
      <c r="Z357" s="6" t="str">
        <f t="shared" si="63"/>
        <v/>
      </c>
      <c r="AA357" s="6" t="str">
        <f t="shared" si="64"/>
        <v/>
      </c>
      <c r="AB357" s="6" t="str">
        <f t="shared" si="65"/>
        <v/>
      </c>
      <c r="AC357" s="6" t="str">
        <f t="shared" si="66"/>
        <v/>
      </c>
      <c r="AD357" s="6" t="str">
        <f t="shared" si="67"/>
        <v/>
      </c>
      <c r="AE357" s="6" t="str">
        <f t="shared" si="68"/>
        <v/>
      </c>
      <c r="AF357" s="6" t="str">
        <f t="shared" si="69"/>
        <v/>
      </c>
      <c r="AG357" s="6" t="str">
        <f t="shared" si="70"/>
        <v/>
      </c>
      <c r="AH357" s="6" t="str">
        <f t="shared" si="71"/>
        <v/>
      </c>
    </row>
    <row r="358" spans="1:34">
      <c r="A358" s="9"/>
      <c r="C358" s="4" t="str">
        <f>IFERROR(VLOOKUP(B358,'Code Lists'!$A:$B,2,FALSE),"")</f>
        <v/>
      </c>
      <c r="F358" s="4" t="str">
        <f>IFERROR(VLOOKUP(E358,'Code Lists'!$D:$E,2,FALSE),"")</f>
        <v/>
      </c>
      <c r="H358" s="4" t="str">
        <f>IFERROR(VLOOKUP(G358,'Code Lists'!$G:$H,2,FALSE),"")</f>
        <v/>
      </c>
      <c r="J358" s="10"/>
      <c r="M358" s="11"/>
      <c r="Q358" s="7" t="str">
        <f>IF(VedAarnaSKUMaster[[#This Row],[HSN/SAC Code]]=998822,5%,IF(VedAarnaSKUMaster[[#This Row],[HSN/SAC Code]]=998391,18%,IF(VedAarnaSKUMaster[[#This Row],[HSN/SAC Code]]=998723,5%,"")))</f>
        <v/>
      </c>
      <c r="R358" s="5" t="str">
        <f t="shared" si="61"/>
        <v/>
      </c>
      <c r="S358" s="5" t="str">
        <f t="shared" si="62"/>
        <v/>
      </c>
      <c r="T358" s="11"/>
      <c r="U358" s="8" t="str">
        <f>IF(OR(VedAarnaSKUMaster[[#This Row],[Selling Price]]="",VedAarnaSKUMaster[[#This Row],[Selling Price]]=0),"",CEILING(VedAarnaSKUMaster[[#This Row],[Selling Price]]/(1-20%),100)-1)</f>
        <v/>
      </c>
      <c r="V358">
        <f t="shared" si="72"/>
        <v>0</v>
      </c>
      <c r="W358" s="8"/>
      <c r="Z358" s="6" t="str">
        <f t="shared" si="63"/>
        <v/>
      </c>
      <c r="AA358" s="6" t="str">
        <f t="shared" si="64"/>
        <v/>
      </c>
      <c r="AB358" s="6" t="str">
        <f t="shared" si="65"/>
        <v/>
      </c>
      <c r="AC358" s="6" t="str">
        <f t="shared" si="66"/>
        <v/>
      </c>
      <c r="AD358" s="6" t="str">
        <f t="shared" si="67"/>
        <v/>
      </c>
      <c r="AE358" s="6" t="str">
        <f t="shared" si="68"/>
        <v/>
      </c>
      <c r="AF358" s="6" t="str">
        <f t="shared" si="69"/>
        <v/>
      </c>
      <c r="AG358" s="6" t="str">
        <f t="shared" si="70"/>
        <v/>
      </c>
      <c r="AH358" s="6" t="str">
        <f t="shared" si="71"/>
        <v/>
      </c>
    </row>
    <row r="359" spans="1:34">
      <c r="A359" s="9"/>
      <c r="C359" s="4" t="str">
        <f>IFERROR(VLOOKUP(B359,'Code Lists'!$A:$B,2,FALSE),"")</f>
        <v/>
      </c>
      <c r="F359" s="4" t="str">
        <f>IFERROR(VLOOKUP(E359,'Code Lists'!$D:$E,2,FALSE),"")</f>
        <v/>
      </c>
      <c r="H359" s="4" t="str">
        <f>IFERROR(VLOOKUP(G359,'Code Lists'!$G:$H,2,FALSE),"")</f>
        <v/>
      </c>
      <c r="J359" s="10"/>
      <c r="M359" s="11"/>
      <c r="Q359" s="7" t="str">
        <f>IF(VedAarnaSKUMaster[[#This Row],[HSN/SAC Code]]=998822,5%,IF(VedAarnaSKUMaster[[#This Row],[HSN/SAC Code]]=998391,18%,IF(VedAarnaSKUMaster[[#This Row],[HSN/SAC Code]]=998723,5%,"")))</f>
        <v/>
      </c>
      <c r="R359" s="5" t="str">
        <f t="shared" si="61"/>
        <v/>
      </c>
      <c r="S359" s="5" t="str">
        <f t="shared" si="62"/>
        <v/>
      </c>
      <c r="T359" s="11"/>
      <c r="U359" s="8" t="str">
        <f>IF(OR(VedAarnaSKUMaster[[#This Row],[Selling Price]]="",VedAarnaSKUMaster[[#This Row],[Selling Price]]=0),"",CEILING(VedAarnaSKUMaster[[#This Row],[Selling Price]]/(1-20%),100)-1)</f>
        <v/>
      </c>
      <c r="V359">
        <f t="shared" si="72"/>
        <v>0</v>
      </c>
      <c r="W359" s="8"/>
      <c r="Z359" s="6" t="str">
        <f t="shared" si="63"/>
        <v/>
      </c>
      <c r="AA359" s="6" t="str">
        <f t="shared" si="64"/>
        <v/>
      </c>
      <c r="AB359" s="6" t="str">
        <f t="shared" si="65"/>
        <v/>
      </c>
      <c r="AC359" s="6" t="str">
        <f t="shared" si="66"/>
        <v/>
      </c>
      <c r="AD359" s="6" t="str">
        <f t="shared" si="67"/>
        <v/>
      </c>
      <c r="AE359" s="6" t="str">
        <f t="shared" si="68"/>
        <v/>
      </c>
      <c r="AF359" s="6" t="str">
        <f t="shared" si="69"/>
        <v/>
      </c>
      <c r="AG359" s="6" t="str">
        <f t="shared" si="70"/>
        <v/>
      </c>
      <c r="AH359" s="6" t="str">
        <f t="shared" si="71"/>
        <v/>
      </c>
    </row>
    <row r="360" spans="1:34">
      <c r="A360" s="9"/>
      <c r="C360" s="4" t="str">
        <f>IFERROR(VLOOKUP(B360,'Code Lists'!$A:$B,2,FALSE),"")</f>
        <v/>
      </c>
      <c r="F360" s="4" t="str">
        <f>IFERROR(VLOOKUP(E360,'Code Lists'!$D:$E,2,FALSE),"")</f>
        <v/>
      </c>
      <c r="H360" s="4" t="str">
        <f>IFERROR(VLOOKUP(G360,'Code Lists'!$G:$H,2,FALSE),"")</f>
        <v/>
      </c>
      <c r="J360" s="10"/>
      <c r="M360" s="11"/>
      <c r="Q360" s="7" t="str">
        <f>IF(VedAarnaSKUMaster[[#This Row],[HSN/SAC Code]]=998822,5%,IF(VedAarnaSKUMaster[[#This Row],[HSN/SAC Code]]=998391,18%,IF(VedAarnaSKUMaster[[#This Row],[HSN/SAC Code]]=998723,5%,"")))</f>
        <v/>
      </c>
      <c r="R360" s="5" t="str">
        <f t="shared" si="61"/>
        <v/>
      </c>
      <c r="S360" s="5" t="str">
        <f t="shared" si="62"/>
        <v/>
      </c>
      <c r="T360" s="11"/>
      <c r="U360" s="8" t="str">
        <f>IF(OR(VedAarnaSKUMaster[[#This Row],[Selling Price]]="",VedAarnaSKUMaster[[#This Row],[Selling Price]]=0),"",CEILING(VedAarnaSKUMaster[[#This Row],[Selling Price]]/(1-20%),100)-1)</f>
        <v/>
      </c>
      <c r="V360">
        <f t="shared" si="72"/>
        <v>0</v>
      </c>
      <c r="W360" s="8"/>
      <c r="Z360" s="6" t="str">
        <f t="shared" si="63"/>
        <v/>
      </c>
      <c r="AA360" s="6" t="str">
        <f t="shared" si="64"/>
        <v/>
      </c>
      <c r="AB360" s="6" t="str">
        <f t="shared" si="65"/>
        <v/>
      </c>
      <c r="AC360" s="6" t="str">
        <f t="shared" si="66"/>
        <v/>
      </c>
      <c r="AD360" s="6" t="str">
        <f t="shared" si="67"/>
        <v/>
      </c>
      <c r="AE360" s="6" t="str">
        <f t="shared" si="68"/>
        <v/>
      </c>
      <c r="AF360" s="6" t="str">
        <f t="shared" si="69"/>
        <v/>
      </c>
      <c r="AG360" s="6" t="str">
        <f t="shared" si="70"/>
        <v/>
      </c>
      <c r="AH360" s="6" t="str">
        <f t="shared" si="71"/>
        <v/>
      </c>
    </row>
    <row r="361" spans="1:34">
      <c r="A361" s="9"/>
      <c r="C361" s="4" t="str">
        <f>IFERROR(VLOOKUP(B361,'Code Lists'!$A:$B,2,FALSE),"")</f>
        <v/>
      </c>
      <c r="F361" s="4" t="str">
        <f>IFERROR(VLOOKUP(E361,'Code Lists'!$D:$E,2,FALSE),"")</f>
        <v/>
      </c>
      <c r="H361" s="4" t="str">
        <f>IFERROR(VLOOKUP(G361,'Code Lists'!$G:$H,2,FALSE),"")</f>
        <v/>
      </c>
      <c r="J361" s="10"/>
      <c r="M361" s="11"/>
      <c r="Q361" s="7" t="str">
        <f>IF(VedAarnaSKUMaster[[#This Row],[HSN/SAC Code]]=998822,5%,IF(VedAarnaSKUMaster[[#This Row],[HSN/SAC Code]]=998391,18%,IF(VedAarnaSKUMaster[[#This Row],[HSN/SAC Code]]=998723,5%,"")))</f>
        <v/>
      </c>
      <c r="R361" s="5" t="str">
        <f t="shared" si="61"/>
        <v/>
      </c>
      <c r="S361" s="5" t="str">
        <f t="shared" si="62"/>
        <v/>
      </c>
      <c r="T361" s="11"/>
      <c r="U361" s="8" t="str">
        <f>IF(OR(VedAarnaSKUMaster[[#This Row],[Selling Price]]="",VedAarnaSKUMaster[[#This Row],[Selling Price]]=0),"",CEILING(VedAarnaSKUMaster[[#This Row],[Selling Price]]/(1-20%),100)-1)</f>
        <v/>
      </c>
      <c r="V361">
        <f t="shared" si="72"/>
        <v>0</v>
      </c>
      <c r="W361" s="8"/>
      <c r="Z361" s="6" t="str">
        <f t="shared" si="63"/>
        <v/>
      </c>
      <c r="AA361" s="6" t="str">
        <f t="shared" si="64"/>
        <v/>
      </c>
      <c r="AB361" s="6" t="str">
        <f t="shared" si="65"/>
        <v/>
      </c>
      <c r="AC361" s="6" t="str">
        <f t="shared" si="66"/>
        <v/>
      </c>
      <c r="AD361" s="6" t="str">
        <f t="shared" si="67"/>
        <v/>
      </c>
      <c r="AE361" s="6" t="str">
        <f t="shared" si="68"/>
        <v/>
      </c>
      <c r="AF361" s="6" t="str">
        <f t="shared" si="69"/>
        <v/>
      </c>
      <c r="AG361" s="6" t="str">
        <f t="shared" si="70"/>
        <v/>
      </c>
      <c r="AH361" s="6" t="str">
        <f t="shared" si="71"/>
        <v/>
      </c>
    </row>
    <row r="362" spans="1:34">
      <c r="A362" s="9"/>
      <c r="C362" s="4" t="str">
        <f>IFERROR(VLOOKUP(B362,'Code Lists'!$A:$B,2,FALSE),"")</f>
        <v/>
      </c>
      <c r="F362" s="4" t="str">
        <f>IFERROR(VLOOKUP(E362,'Code Lists'!$D:$E,2,FALSE),"")</f>
        <v/>
      </c>
      <c r="H362" s="4" t="str">
        <f>IFERROR(VLOOKUP(G362,'Code Lists'!$G:$H,2,FALSE),"")</f>
        <v/>
      </c>
      <c r="J362" s="10"/>
      <c r="M362" s="11"/>
      <c r="Q362" s="7" t="str">
        <f>IF(VedAarnaSKUMaster[[#This Row],[HSN/SAC Code]]=998822,5%,IF(VedAarnaSKUMaster[[#This Row],[HSN/SAC Code]]=998391,18%,IF(VedAarnaSKUMaster[[#This Row],[HSN/SAC Code]]=998723,5%,"")))</f>
        <v/>
      </c>
      <c r="R362" s="5" t="str">
        <f t="shared" si="61"/>
        <v/>
      </c>
      <c r="S362" s="5" t="str">
        <f t="shared" si="62"/>
        <v/>
      </c>
      <c r="T362" s="11"/>
      <c r="U362" s="8" t="str">
        <f>IF(OR(VedAarnaSKUMaster[[#This Row],[Selling Price]]="",VedAarnaSKUMaster[[#This Row],[Selling Price]]=0),"",CEILING(VedAarnaSKUMaster[[#This Row],[Selling Price]]/(1-20%),100)-1)</f>
        <v/>
      </c>
      <c r="V362">
        <f t="shared" si="72"/>
        <v>0</v>
      </c>
      <c r="W362" s="8"/>
      <c r="Z362" s="6" t="str">
        <f t="shared" si="63"/>
        <v/>
      </c>
      <c r="AA362" s="6" t="str">
        <f t="shared" si="64"/>
        <v/>
      </c>
      <c r="AB362" s="6" t="str">
        <f t="shared" si="65"/>
        <v/>
      </c>
      <c r="AC362" s="6" t="str">
        <f t="shared" si="66"/>
        <v/>
      </c>
      <c r="AD362" s="6" t="str">
        <f t="shared" si="67"/>
        <v/>
      </c>
      <c r="AE362" s="6" t="str">
        <f t="shared" si="68"/>
        <v/>
      </c>
      <c r="AF362" s="6" t="str">
        <f t="shared" si="69"/>
        <v/>
      </c>
      <c r="AG362" s="6" t="str">
        <f t="shared" si="70"/>
        <v/>
      </c>
      <c r="AH362" s="6" t="str">
        <f t="shared" si="71"/>
        <v/>
      </c>
    </row>
    <row r="363" spans="1:34">
      <c r="A363" s="9"/>
      <c r="C363" s="4" t="str">
        <f>IFERROR(VLOOKUP(B363,'Code Lists'!$A:$B,2,FALSE),"")</f>
        <v/>
      </c>
      <c r="F363" s="4" t="str">
        <f>IFERROR(VLOOKUP(E363,'Code Lists'!$D:$E,2,FALSE),"")</f>
        <v/>
      </c>
      <c r="H363" s="4" t="str">
        <f>IFERROR(VLOOKUP(G363,'Code Lists'!$G:$H,2,FALSE),"")</f>
        <v/>
      </c>
      <c r="J363" s="10"/>
      <c r="M363" s="11"/>
      <c r="Q363" s="7" t="str">
        <f>IF(VedAarnaSKUMaster[[#This Row],[HSN/SAC Code]]=998822,5%,IF(VedAarnaSKUMaster[[#This Row],[HSN/SAC Code]]=998391,18%,IF(VedAarnaSKUMaster[[#This Row],[HSN/SAC Code]]=998723,5%,"")))</f>
        <v/>
      </c>
      <c r="R363" s="5" t="str">
        <f t="shared" si="61"/>
        <v/>
      </c>
      <c r="S363" s="5" t="str">
        <f t="shared" si="62"/>
        <v/>
      </c>
      <c r="T363" s="11"/>
      <c r="U363" s="8" t="str">
        <f>IF(OR(VedAarnaSKUMaster[[#This Row],[Selling Price]]="",VedAarnaSKUMaster[[#This Row],[Selling Price]]=0),"",CEILING(VedAarnaSKUMaster[[#This Row],[Selling Price]]/(1-20%),100)-1)</f>
        <v/>
      </c>
      <c r="V363">
        <f t="shared" si="72"/>
        <v>0</v>
      </c>
      <c r="W363" s="8"/>
      <c r="Z363" s="6" t="str">
        <f t="shared" si="63"/>
        <v/>
      </c>
      <c r="AA363" s="6" t="str">
        <f t="shared" si="64"/>
        <v/>
      </c>
      <c r="AB363" s="6" t="str">
        <f t="shared" si="65"/>
        <v/>
      </c>
      <c r="AC363" s="6" t="str">
        <f t="shared" si="66"/>
        <v/>
      </c>
      <c r="AD363" s="6" t="str">
        <f t="shared" si="67"/>
        <v/>
      </c>
      <c r="AE363" s="6" t="str">
        <f t="shared" si="68"/>
        <v/>
      </c>
      <c r="AF363" s="6" t="str">
        <f t="shared" si="69"/>
        <v/>
      </c>
      <c r="AG363" s="6" t="str">
        <f t="shared" si="70"/>
        <v/>
      </c>
      <c r="AH363" s="6" t="str">
        <f t="shared" si="71"/>
        <v/>
      </c>
    </row>
    <row r="364" spans="1:34">
      <c r="A364" s="9"/>
      <c r="C364" s="4" t="str">
        <f>IFERROR(VLOOKUP(B364,'Code Lists'!$A:$B,2,FALSE),"")</f>
        <v/>
      </c>
      <c r="F364" s="4" t="str">
        <f>IFERROR(VLOOKUP(E364,'Code Lists'!$D:$E,2,FALSE),"")</f>
        <v/>
      </c>
      <c r="H364" s="4" t="str">
        <f>IFERROR(VLOOKUP(G364,'Code Lists'!$G:$H,2,FALSE),"")</f>
        <v/>
      </c>
      <c r="J364" s="10"/>
      <c r="M364" s="11"/>
      <c r="Q364" s="7" t="str">
        <f>IF(VedAarnaSKUMaster[[#This Row],[HSN/SAC Code]]=998822,5%,IF(VedAarnaSKUMaster[[#This Row],[HSN/SAC Code]]=998391,18%,IF(VedAarnaSKUMaster[[#This Row],[HSN/SAC Code]]=998723,5%,"")))</f>
        <v/>
      </c>
      <c r="R364" s="5" t="str">
        <f t="shared" si="61"/>
        <v/>
      </c>
      <c r="S364" s="5" t="str">
        <f t="shared" si="62"/>
        <v/>
      </c>
      <c r="T364" s="11"/>
      <c r="U364" s="8" t="str">
        <f>IF(OR(VedAarnaSKUMaster[[#This Row],[Selling Price]]="",VedAarnaSKUMaster[[#This Row],[Selling Price]]=0),"",CEILING(VedAarnaSKUMaster[[#This Row],[Selling Price]]/(1-20%),100)-1)</f>
        <v/>
      </c>
      <c r="V364">
        <f t="shared" si="72"/>
        <v>0</v>
      </c>
      <c r="W364" s="8"/>
      <c r="Z364" s="6" t="str">
        <f t="shared" si="63"/>
        <v/>
      </c>
      <c r="AA364" s="6" t="str">
        <f t="shared" si="64"/>
        <v/>
      </c>
      <c r="AB364" s="6" t="str">
        <f t="shared" si="65"/>
        <v/>
      </c>
      <c r="AC364" s="6" t="str">
        <f t="shared" si="66"/>
        <v/>
      </c>
      <c r="AD364" s="6" t="str">
        <f t="shared" si="67"/>
        <v/>
      </c>
      <c r="AE364" s="6" t="str">
        <f t="shared" si="68"/>
        <v/>
      </c>
      <c r="AF364" s="6" t="str">
        <f t="shared" si="69"/>
        <v/>
      </c>
      <c r="AG364" s="6" t="str">
        <f t="shared" si="70"/>
        <v/>
      </c>
      <c r="AH364" s="6" t="str">
        <f t="shared" si="71"/>
        <v/>
      </c>
    </row>
    <row r="365" spans="1:34">
      <c r="A365" s="9"/>
      <c r="C365" s="4" t="str">
        <f>IFERROR(VLOOKUP(B365,'Code Lists'!$A:$B,2,FALSE),"")</f>
        <v/>
      </c>
      <c r="F365" s="4" t="str">
        <f>IFERROR(VLOOKUP(E365,'Code Lists'!$D:$E,2,FALSE),"")</f>
        <v/>
      </c>
      <c r="H365" s="4" t="str">
        <f>IFERROR(VLOOKUP(G365,'Code Lists'!$G:$H,2,FALSE),"")</f>
        <v/>
      </c>
      <c r="J365" s="10"/>
      <c r="M365" s="11"/>
      <c r="Q365" s="7" t="str">
        <f>IF(VedAarnaSKUMaster[[#This Row],[HSN/SAC Code]]=998822,5%,IF(VedAarnaSKUMaster[[#This Row],[HSN/SAC Code]]=998391,18%,IF(VedAarnaSKUMaster[[#This Row],[HSN/SAC Code]]=998723,5%,"")))</f>
        <v/>
      </c>
      <c r="R365" s="5" t="str">
        <f t="shared" si="61"/>
        <v/>
      </c>
      <c r="S365" s="5" t="str">
        <f t="shared" si="62"/>
        <v/>
      </c>
      <c r="T365" s="11"/>
      <c r="U365" s="8" t="str">
        <f>IF(OR(VedAarnaSKUMaster[[#This Row],[Selling Price]]="",VedAarnaSKUMaster[[#This Row],[Selling Price]]=0),"",CEILING(VedAarnaSKUMaster[[#This Row],[Selling Price]]/(1-20%),100)-1)</f>
        <v/>
      </c>
      <c r="V365">
        <f t="shared" si="72"/>
        <v>0</v>
      </c>
      <c r="W365" s="8"/>
      <c r="Z365" s="6" t="str">
        <f t="shared" si="63"/>
        <v/>
      </c>
      <c r="AA365" s="6" t="str">
        <f t="shared" si="64"/>
        <v/>
      </c>
      <c r="AB365" s="6" t="str">
        <f t="shared" si="65"/>
        <v/>
      </c>
      <c r="AC365" s="6" t="str">
        <f t="shared" si="66"/>
        <v/>
      </c>
      <c r="AD365" s="6" t="str">
        <f t="shared" si="67"/>
        <v/>
      </c>
      <c r="AE365" s="6" t="str">
        <f t="shared" si="68"/>
        <v/>
      </c>
      <c r="AF365" s="6" t="str">
        <f t="shared" si="69"/>
        <v/>
      </c>
      <c r="AG365" s="6" t="str">
        <f t="shared" si="70"/>
        <v/>
      </c>
      <c r="AH365" s="6" t="str">
        <f t="shared" si="71"/>
        <v/>
      </c>
    </row>
    <row r="366" spans="1:34">
      <c r="A366" s="9"/>
      <c r="C366" s="4" t="str">
        <f>IFERROR(VLOOKUP(B366,'Code Lists'!$A:$B,2,FALSE),"")</f>
        <v/>
      </c>
      <c r="F366" s="4" t="str">
        <f>IFERROR(VLOOKUP(E366,'Code Lists'!$D:$E,2,FALSE),"")</f>
        <v/>
      </c>
      <c r="H366" s="4" t="str">
        <f>IFERROR(VLOOKUP(G366,'Code Lists'!$G:$H,2,FALSE),"")</f>
        <v/>
      </c>
      <c r="J366" s="10"/>
      <c r="M366" s="11"/>
      <c r="Q366" s="7" t="str">
        <f>IF(VedAarnaSKUMaster[[#This Row],[HSN/SAC Code]]=998822,5%,IF(VedAarnaSKUMaster[[#This Row],[HSN/SAC Code]]=998391,18%,IF(VedAarnaSKUMaster[[#This Row],[HSN/SAC Code]]=998723,5%,"")))</f>
        <v/>
      </c>
      <c r="R366" s="5" t="str">
        <f t="shared" si="61"/>
        <v/>
      </c>
      <c r="S366" s="5" t="str">
        <f t="shared" si="62"/>
        <v/>
      </c>
      <c r="T366" s="11"/>
      <c r="U366" s="8" t="str">
        <f>IF(OR(VedAarnaSKUMaster[[#This Row],[Selling Price]]="",VedAarnaSKUMaster[[#This Row],[Selling Price]]=0),"",CEILING(VedAarnaSKUMaster[[#This Row],[Selling Price]]/(1-20%),100)-1)</f>
        <v/>
      </c>
      <c r="V366">
        <f t="shared" si="72"/>
        <v>0</v>
      </c>
      <c r="W366" s="8"/>
      <c r="Z366" s="6" t="str">
        <f t="shared" si="63"/>
        <v/>
      </c>
      <c r="AA366" s="6" t="str">
        <f t="shared" si="64"/>
        <v/>
      </c>
      <c r="AB366" s="6" t="str">
        <f t="shared" si="65"/>
        <v/>
      </c>
      <c r="AC366" s="6" t="str">
        <f t="shared" si="66"/>
        <v/>
      </c>
      <c r="AD366" s="6" t="str">
        <f t="shared" si="67"/>
        <v/>
      </c>
      <c r="AE366" s="6" t="str">
        <f t="shared" si="68"/>
        <v/>
      </c>
      <c r="AF366" s="6" t="str">
        <f t="shared" si="69"/>
        <v/>
      </c>
      <c r="AG366" s="6" t="str">
        <f t="shared" si="70"/>
        <v/>
      </c>
      <c r="AH366" s="6" t="str">
        <f t="shared" si="71"/>
        <v/>
      </c>
    </row>
    <row r="367" spans="1:34">
      <c r="A367" s="9"/>
      <c r="C367" s="4" t="str">
        <f>IFERROR(VLOOKUP(B367,'Code Lists'!$A:$B,2,FALSE),"")</f>
        <v/>
      </c>
      <c r="F367" s="4" t="str">
        <f>IFERROR(VLOOKUP(E367,'Code Lists'!$D:$E,2,FALSE),"")</f>
        <v/>
      </c>
      <c r="H367" s="4" t="str">
        <f>IFERROR(VLOOKUP(G367,'Code Lists'!$G:$H,2,FALSE),"")</f>
        <v/>
      </c>
      <c r="J367" s="10"/>
      <c r="M367" s="11"/>
      <c r="Q367" s="7" t="str">
        <f>IF(VedAarnaSKUMaster[[#This Row],[HSN/SAC Code]]=998822,5%,IF(VedAarnaSKUMaster[[#This Row],[HSN/SAC Code]]=998391,18%,IF(VedAarnaSKUMaster[[#This Row],[HSN/SAC Code]]=998723,5%,"")))</f>
        <v/>
      </c>
      <c r="R367" s="5" t="str">
        <f t="shared" si="61"/>
        <v/>
      </c>
      <c r="S367" s="5" t="str">
        <f t="shared" si="62"/>
        <v/>
      </c>
      <c r="T367" s="11"/>
      <c r="U367" s="8" t="str">
        <f>IF(OR(VedAarnaSKUMaster[[#This Row],[Selling Price]]="",VedAarnaSKUMaster[[#This Row],[Selling Price]]=0),"",CEILING(VedAarnaSKUMaster[[#This Row],[Selling Price]]/(1-20%),100)-1)</f>
        <v/>
      </c>
      <c r="V367">
        <f t="shared" si="72"/>
        <v>0</v>
      </c>
      <c r="W367" s="8"/>
      <c r="Z367" s="6" t="str">
        <f t="shared" si="63"/>
        <v/>
      </c>
      <c r="AA367" s="6" t="str">
        <f t="shared" si="64"/>
        <v/>
      </c>
      <c r="AB367" s="6" t="str">
        <f t="shared" si="65"/>
        <v/>
      </c>
      <c r="AC367" s="6" t="str">
        <f t="shared" si="66"/>
        <v/>
      </c>
      <c r="AD367" s="6" t="str">
        <f t="shared" si="67"/>
        <v/>
      </c>
      <c r="AE367" s="6" t="str">
        <f t="shared" si="68"/>
        <v/>
      </c>
      <c r="AF367" s="6" t="str">
        <f t="shared" si="69"/>
        <v/>
      </c>
      <c r="AG367" s="6" t="str">
        <f t="shared" si="70"/>
        <v/>
      </c>
      <c r="AH367" s="6" t="str">
        <f t="shared" si="71"/>
        <v/>
      </c>
    </row>
    <row r="368" spans="1:34">
      <c r="A368" s="9"/>
      <c r="C368" s="4" t="str">
        <f>IFERROR(VLOOKUP(B368,'Code Lists'!$A:$B,2,FALSE),"")</f>
        <v/>
      </c>
      <c r="F368" s="4" t="str">
        <f>IFERROR(VLOOKUP(E368,'Code Lists'!$D:$E,2,FALSE),"")</f>
        <v/>
      </c>
      <c r="H368" s="4" t="str">
        <f>IFERROR(VLOOKUP(G368,'Code Lists'!$G:$H,2,FALSE),"")</f>
        <v/>
      </c>
      <c r="J368" s="10"/>
      <c r="M368" s="11"/>
      <c r="Q368" s="7" t="str">
        <f>IF(VedAarnaSKUMaster[[#This Row],[HSN/SAC Code]]=998822,5%,IF(VedAarnaSKUMaster[[#This Row],[HSN/SAC Code]]=998391,18%,IF(VedAarnaSKUMaster[[#This Row],[HSN/SAC Code]]=998723,5%,"")))</f>
        <v/>
      </c>
      <c r="R368" s="5" t="str">
        <f t="shared" si="61"/>
        <v/>
      </c>
      <c r="S368" s="5" t="str">
        <f t="shared" si="62"/>
        <v/>
      </c>
      <c r="T368" s="11"/>
      <c r="U368" s="8" t="str">
        <f>IF(OR(VedAarnaSKUMaster[[#This Row],[Selling Price]]="",VedAarnaSKUMaster[[#This Row],[Selling Price]]=0),"",CEILING(VedAarnaSKUMaster[[#This Row],[Selling Price]]/(1-20%),100)-1)</f>
        <v/>
      </c>
      <c r="V368">
        <f t="shared" si="72"/>
        <v>0</v>
      </c>
      <c r="W368" s="8"/>
      <c r="Z368" s="6" t="str">
        <f t="shared" si="63"/>
        <v/>
      </c>
      <c r="AA368" s="6" t="str">
        <f t="shared" si="64"/>
        <v/>
      </c>
      <c r="AB368" s="6" t="str">
        <f t="shared" si="65"/>
        <v/>
      </c>
      <c r="AC368" s="6" t="str">
        <f t="shared" si="66"/>
        <v/>
      </c>
      <c r="AD368" s="6" t="str">
        <f t="shared" si="67"/>
        <v/>
      </c>
      <c r="AE368" s="6" t="str">
        <f t="shared" si="68"/>
        <v/>
      </c>
      <c r="AF368" s="6" t="str">
        <f t="shared" si="69"/>
        <v/>
      </c>
      <c r="AG368" s="6" t="str">
        <f t="shared" si="70"/>
        <v/>
      </c>
      <c r="AH368" s="6" t="str">
        <f t="shared" si="71"/>
        <v/>
      </c>
    </row>
    <row r="369" spans="1:34">
      <c r="A369" s="9"/>
      <c r="C369" s="4" t="str">
        <f>IFERROR(VLOOKUP(B369,'Code Lists'!$A:$B,2,FALSE),"")</f>
        <v/>
      </c>
      <c r="F369" s="4" t="str">
        <f>IFERROR(VLOOKUP(E369,'Code Lists'!$D:$E,2,FALSE),"")</f>
        <v/>
      </c>
      <c r="H369" s="4" t="str">
        <f>IFERROR(VLOOKUP(G369,'Code Lists'!$G:$H,2,FALSE),"")</f>
        <v/>
      </c>
      <c r="J369" s="10"/>
      <c r="M369" s="11"/>
      <c r="Q369" s="7" t="str">
        <f>IF(VedAarnaSKUMaster[[#This Row],[HSN/SAC Code]]=998822,5%,IF(VedAarnaSKUMaster[[#This Row],[HSN/SAC Code]]=998391,18%,IF(VedAarnaSKUMaster[[#This Row],[HSN/SAC Code]]=998723,5%,"")))</f>
        <v/>
      </c>
      <c r="R369" s="5" t="str">
        <f t="shared" si="61"/>
        <v/>
      </c>
      <c r="S369" s="5" t="str">
        <f t="shared" si="62"/>
        <v/>
      </c>
      <c r="T369" s="11"/>
      <c r="U369" s="8" t="str">
        <f>IF(OR(VedAarnaSKUMaster[[#This Row],[Selling Price]]="",VedAarnaSKUMaster[[#This Row],[Selling Price]]=0),"",CEILING(VedAarnaSKUMaster[[#This Row],[Selling Price]]/(1-20%),100)-1)</f>
        <v/>
      </c>
      <c r="V369">
        <f t="shared" si="72"/>
        <v>0</v>
      </c>
      <c r="W369" s="8"/>
      <c r="Z369" s="6" t="str">
        <f t="shared" si="63"/>
        <v/>
      </c>
      <c r="AA369" s="6" t="str">
        <f t="shared" si="64"/>
        <v/>
      </c>
      <c r="AB369" s="6" t="str">
        <f t="shared" si="65"/>
        <v/>
      </c>
      <c r="AC369" s="6" t="str">
        <f t="shared" si="66"/>
        <v/>
      </c>
      <c r="AD369" s="6" t="str">
        <f t="shared" si="67"/>
        <v/>
      </c>
      <c r="AE369" s="6" t="str">
        <f t="shared" si="68"/>
        <v/>
      </c>
      <c r="AF369" s="6" t="str">
        <f t="shared" si="69"/>
        <v/>
      </c>
      <c r="AG369" s="6" t="str">
        <f t="shared" si="70"/>
        <v/>
      </c>
      <c r="AH369" s="6" t="str">
        <f t="shared" si="71"/>
        <v/>
      </c>
    </row>
    <row r="370" spans="1:34">
      <c r="A370" s="9"/>
      <c r="C370" s="4" t="str">
        <f>IFERROR(VLOOKUP(B370,'Code Lists'!$A:$B,2,FALSE),"")</f>
        <v/>
      </c>
      <c r="F370" s="4" t="str">
        <f>IFERROR(VLOOKUP(E370,'Code Lists'!$D:$E,2,FALSE),"")</f>
        <v/>
      </c>
      <c r="H370" s="4" t="str">
        <f>IFERROR(VLOOKUP(G370,'Code Lists'!$G:$H,2,FALSE),"")</f>
        <v/>
      </c>
      <c r="J370" s="10"/>
      <c r="M370" s="11"/>
      <c r="Q370" s="7" t="str">
        <f>IF(VedAarnaSKUMaster[[#This Row],[HSN/SAC Code]]=998822,5%,IF(VedAarnaSKUMaster[[#This Row],[HSN/SAC Code]]=998391,18%,IF(VedAarnaSKUMaster[[#This Row],[HSN/SAC Code]]=998723,5%,"")))</f>
        <v/>
      </c>
      <c r="R370" s="5" t="str">
        <f t="shared" si="61"/>
        <v/>
      </c>
      <c r="S370" s="5" t="str">
        <f t="shared" si="62"/>
        <v/>
      </c>
      <c r="T370" s="11"/>
      <c r="U370" s="8" t="str">
        <f>IF(OR(VedAarnaSKUMaster[[#This Row],[Selling Price]]="",VedAarnaSKUMaster[[#This Row],[Selling Price]]=0),"",CEILING(VedAarnaSKUMaster[[#This Row],[Selling Price]]/(1-20%),100)-1)</f>
        <v/>
      </c>
      <c r="V370">
        <f t="shared" si="72"/>
        <v>0</v>
      </c>
      <c r="W370" s="8"/>
      <c r="Z370" s="6" t="str">
        <f t="shared" si="63"/>
        <v/>
      </c>
      <c r="AA370" s="6" t="str">
        <f t="shared" si="64"/>
        <v/>
      </c>
      <c r="AB370" s="6" t="str">
        <f t="shared" si="65"/>
        <v/>
      </c>
      <c r="AC370" s="6" t="str">
        <f t="shared" si="66"/>
        <v/>
      </c>
      <c r="AD370" s="6" t="str">
        <f t="shared" si="67"/>
        <v/>
      </c>
      <c r="AE370" s="6" t="str">
        <f t="shared" si="68"/>
        <v/>
      </c>
      <c r="AF370" s="6" t="str">
        <f t="shared" si="69"/>
        <v/>
      </c>
      <c r="AG370" s="6" t="str">
        <f t="shared" si="70"/>
        <v/>
      </c>
      <c r="AH370" s="6" t="str">
        <f t="shared" si="71"/>
        <v/>
      </c>
    </row>
    <row r="371" spans="1:34">
      <c r="A371" s="9"/>
      <c r="C371" s="4" t="str">
        <f>IFERROR(VLOOKUP(B371,'Code Lists'!$A:$B,2,FALSE),"")</f>
        <v/>
      </c>
      <c r="F371" s="4" t="str">
        <f>IFERROR(VLOOKUP(E371,'Code Lists'!$D:$E,2,FALSE),"")</f>
        <v/>
      </c>
      <c r="H371" s="4" t="str">
        <f>IFERROR(VLOOKUP(G371,'Code Lists'!$G:$H,2,FALSE),"")</f>
        <v/>
      </c>
      <c r="J371" s="10"/>
      <c r="M371" s="11"/>
      <c r="Q371" s="7" t="str">
        <f>IF(VedAarnaSKUMaster[[#This Row],[HSN/SAC Code]]=998822,5%,IF(VedAarnaSKUMaster[[#This Row],[HSN/SAC Code]]=998391,18%,IF(VedAarnaSKUMaster[[#This Row],[HSN/SAC Code]]=998723,5%,"")))</f>
        <v/>
      </c>
      <c r="R371" s="5" t="str">
        <f t="shared" si="61"/>
        <v/>
      </c>
      <c r="S371" s="5" t="str">
        <f t="shared" si="62"/>
        <v/>
      </c>
      <c r="T371" s="11"/>
      <c r="U371" s="8" t="str">
        <f>IF(OR(VedAarnaSKUMaster[[#This Row],[Selling Price]]="",VedAarnaSKUMaster[[#This Row],[Selling Price]]=0),"",CEILING(VedAarnaSKUMaster[[#This Row],[Selling Price]]/(1-20%),100)-1)</f>
        <v/>
      </c>
      <c r="V371">
        <f t="shared" si="72"/>
        <v>0</v>
      </c>
      <c r="W371" s="8"/>
      <c r="Z371" s="6" t="str">
        <f t="shared" si="63"/>
        <v/>
      </c>
      <c r="AA371" s="6" t="str">
        <f t="shared" si="64"/>
        <v/>
      </c>
      <c r="AB371" s="6" t="str">
        <f t="shared" si="65"/>
        <v/>
      </c>
      <c r="AC371" s="6" t="str">
        <f t="shared" si="66"/>
        <v/>
      </c>
      <c r="AD371" s="6" t="str">
        <f t="shared" si="67"/>
        <v/>
      </c>
      <c r="AE371" s="6" t="str">
        <f t="shared" si="68"/>
        <v/>
      </c>
      <c r="AF371" s="6" t="str">
        <f t="shared" si="69"/>
        <v/>
      </c>
      <c r="AG371" s="6" t="str">
        <f t="shared" si="70"/>
        <v/>
      </c>
      <c r="AH371" s="6" t="str">
        <f t="shared" si="71"/>
        <v/>
      </c>
    </row>
    <row r="372" spans="1:34">
      <c r="A372" s="9"/>
      <c r="C372" s="4" t="str">
        <f>IFERROR(VLOOKUP(B372,'Code Lists'!$A:$B,2,FALSE),"")</f>
        <v/>
      </c>
      <c r="F372" s="4" t="str">
        <f>IFERROR(VLOOKUP(E372,'Code Lists'!$D:$E,2,FALSE),"")</f>
        <v/>
      </c>
      <c r="H372" s="4" t="str">
        <f>IFERROR(VLOOKUP(G372,'Code Lists'!$G:$H,2,FALSE),"")</f>
        <v/>
      </c>
      <c r="J372" s="10"/>
      <c r="M372" s="11"/>
      <c r="Q372" s="7" t="str">
        <f>IF(VedAarnaSKUMaster[[#This Row],[HSN/SAC Code]]=998822,5%,IF(VedAarnaSKUMaster[[#This Row],[HSN/SAC Code]]=998391,18%,IF(VedAarnaSKUMaster[[#This Row],[HSN/SAC Code]]=998723,5%,"")))</f>
        <v/>
      </c>
      <c r="R372" s="5" t="str">
        <f t="shared" si="61"/>
        <v/>
      </c>
      <c r="S372" s="5" t="str">
        <f t="shared" si="62"/>
        <v/>
      </c>
      <c r="T372" s="11"/>
      <c r="U372" s="8" t="str">
        <f>IF(OR(VedAarnaSKUMaster[[#This Row],[Selling Price]]="",VedAarnaSKUMaster[[#This Row],[Selling Price]]=0),"",CEILING(VedAarnaSKUMaster[[#This Row],[Selling Price]]/(1-20%),100)-1)</f>
        <v/>
      </c>
      <c r="V372">
        <f t="shared" si="72"/>
        <v>0</v>
      </c>
      <c r="W372" s="8"/>
      <c r="Z372" s="6" t="str">
        <f t="shared" si="63"/>
        <v/>
      </c>
      <c r="AA372" s="6" t="str">
        <f t="shared" si="64"/>
        <v/>
      </c>
      <c r="AB372" s="6" t="str">
        <f t="shared" si="65"/>
        <v/>
      </c>
      <c r="AC372" s="6" t="str">
        <f t="shared" si="66"/>
        <v/>
      </c>
      <c r="AD372" s="6" t="str">
        <f t="shared" si="67"/>
        <v/>
      </c>
      <c r="AE372" s="6" t="str">
        <f t="shared" si="68"/>
        <v/>
      </c>
      <c r="AF372" s="6" t="str">
        <f t="shared" si="69"/>
        <v/>
      </c>
      <c r="AG372" s="6" t="str">
        <f t="shared" si="70"/>
        <v/>
      </c>
      <c r="AH372" s="6" t="str">
        <f t="shared" si="71"/>
        <v/>
      </c>
    </row>
    <row r="373" spans="1:34">
      <c r="A373" s="9"/>
      <c r="C373" s="4" t="str">
        <f>IFERROR(VLOOKUP(B373,'Code Lists'!$A:$B,2,FALSE),"")</f>
        <v/>
      </c>
      <c r="F373" s="4" t="str">
        <f>IFERROR(VLOOKUP(E373,'Code Lists'!$D:$E,2,FALSE),"")</f>
        <v/>
      </c>
      <c r="H373" s="4" t="str">
        <f>IFERROR(VLOOKUP(G373,'Code Lists'!$G:$H,2,FALSE),"")</f>
        <v/>
      </c>
      <c r="J373" s="10"/>
      <c r="M373" s="11"/>
      <c r="Q373" s="7" t="str">
        <f>IF(VedAarnaSKUMaster[[#This Row],[HSN/SAC Code]]=998822,5%,IF(VedAarnaSKUMaster[[#This Row],[HSN/SAC Code]]=998391,18%,IF(VedAarnaSKUMaster[[#This Row],[HSN/SAC Code]]=998723,5%,"")))</f>
        <v/>
      </c>
      <c r="R373" s="5" t="str">
        <f t="shared" si="61"/>
        <v/>
      </c>
      <c r="S373" s="5" t="str">
        <f t="shared" si="62"/>
        <v/>
      </c>
      <c r="T373" s="11"/>
      <c r="U373" s="8" t="str">
        <f>IF(OR(VedAarnaSKUMaster[[#This Row],[Selling Price]]="",VedAarnaSKUMaster[[#This Row],[Selling Price]]=0),"",CEILING(VedAarnaSKUMaster[[#This Row],[Selling Price]]/(1-20%),100)-1)</f>
        <v/>
      </c>
      <c r="V373">
        <f t="shared" si="72"/>
        <v>0</v>
      </c>
      <c r="W373" s="8"/>
      <c r="Z373" s="6" t="str">
        <f t="shared" si="63"/>
        <v/>
      </c>
      <c r="AA373" s="6" t="str">
        <f t="shared" si="64"/>
        <v/>
      </c>
      <c r="AB373" s="6" t="str">
        <f t="shared" si="65"/>
        <v/>
      </c>
      <c r="AC373" s="6" t="str">
        <f t="shared" si="66"/>
        <v/>
      </c>
      <c r="AD373" s="6" t="str">
        <f t="shared" si="67"/>
        <v/>
      </c>
      <c r="AE373" s="6" t="str">
        <f t="shared" si="68"/>
        <v/>
      </c>
      <c r="AF373" s="6" t="str">
        <f t="shared" si="69"/>
        <v/>
      </c>
      <c r="AG373" s="6" t="str">
        <f t="shared" si="70"/>
        <v/>
      </c>
      <c r="AH373" s="6" t="str">
        <f t="shared" si="71"/>
        <v/>
      </c>
    </row>
    <row r="374" spans="1:34">
      <c r="A374" s="9"/>
      <c r="C374" s="4" t="str">
        <f>IFERROR(VLOOKUP(B374,'Code Lists'!$A:$B,2,FALSE),"")</f>
        <v/>
      </c>
      <c r="F374" s="4" t="str">
        <f>IFERROR(VLOOKUP(E374,'Code Lists'!$D:$E,2,FALSE),"")</f>
        <v/>
      </c>
      <c r="H374" s="4" t="str">
        <f>IFERROR(VLOOKUP(G374,'Code Lists'!$G:$H,2,FALSE),"")</f>
        <v/>
      </c>
      <c r="J374" s="10"/>
      <c r="M374" s="11"/>
      <c r="Q374" s="7" t="str">
        <f>IF(VedAarnaSKUMaster[[#This Row],[HSN/SAC Code]]=998822,5%,IF(VedAarnaSKUMaster[[#This Row],[HSN/SAC Code]]=998391,18%,IF(VedAarnaSKUMaster[[#This Row],[HSN/SAC Code]]=998723,5%,"")))</f>
        <v/>
      </c>
      <c r="R374" s="5" t="str">
        <f t="shared" si="61"/>
        <v/>
      </c>
      <c r="S374" s="5" t="str">
        <f t="shared" si="62"/>
        <v/>
      </c>
      <c r="T374" s="11"/>
      <c r="U374" s="8" t="str">
        <f>IF(OR(VedAarnaSKUMaster[[#This Row],[Selling Price]]="",VedAarnaSKUMaster[[#This Row],[Selling Price]]=0),"",CEILING(VedAarnaSKUMaster[[#This Row],[Selling Price]]/(1-20%),100)-1)</f>
        <v/>
      </c>
      <c r="V374">
        <f t="shared" si="72"/>
        <v>0</v>
      </c>
      <c r="W374" s="8"/>
      <c r="Z374" s="6" t="str">
        <f t="shared" si="63"/>
        <v/>
      </c>
      <c r="AA374" s="6" t="str">
        <f t="shared" si="64"/>
        <v/>
      </c>
      <c r="AB374" s="6" t="str">
        <f t="shared" si="65"/>
        <v/>
      </c>
      <c r="AC374" s="6" t="str">
        <f t="shared" si="66"/>
        <v/>
      </c>
      <c r="AD374" s="6" t="str">
        <f t="shared" si="67"/>
        <v/>
      </c>
      <c r="AE374" s="6" t="str">
        <f t="shared" si="68"/>
        <v/>
      </c>
      <c r="AF374" s="6" t="str">
        <f t="shared" si="69"/>
        <v/>
      </c>
      <c r="AG374" s="6" t="str">
        <f t="shared" si="70"/>
        <v/>
      </c>
      <c r="AH374" s="6" t="str">
        <f t="shared" si="71"/>
        <v/>
      </c>
    </row>
    <row r="375" spans="1:34">
      <c r="A375" s="9"/>
      <c r="C375" s="4" t="str">
        <f>IFERROR(VLOOKUP(B375,'Code Lists'!$A:$B,2,FALSE),"")</f>
        <v/>
      </c>
      <c r="F375" s="4" t="str">
        <f>IFERROR(VLOOKUP(E375,'Code Lists'!$D:$E,2,FALSE),"")</f>
        <v/>
      </c>
      <c r="H375" s="4" t="str">
        <f>IFERROR(VLOOKUP(G375,'Code Lists'!$G:$H,2,FALSE),"")</f>
        <v/>
      </c>
      <c r="J375" s="10"/>
      <c r="M375" s="11"/>
      <c r="Q375" s="7" t="str">
        <f>IF(VedAarnaSKUMaster[[#This Row],[HSN/SAC Code]]=998822,5%,IF(VedAarnaSKUMaster[[#This Row],[HSN/SAC Code]]=998391,18%,IF(VedAarnaSKUMaster[[#This Row],[HSN/SAC Code]]=998723,5%,"")))</f>
        <v/>
      </c>
      <c r="R375" s="5" t="str">
        <f t="shared" si="61"/>
        <v/>
      </c>
      <c r="S375" s="5" t="str">
        <f t="shared" si="62"/>
        <v/>
      </c>
      <c r="T375" s="11"/>
      <c r="U375" s="8" t="str">
        <f>IF(OR(VedAarnaSKUMaster[[#This Row],[Selling Price]]="",VedAarnaSKUMaster[[#This Row],[Selling Price]]=0),"",CEILING(VedAarnaSKUMaster[[#This Row],[Selling Price]]/(1-20%),100)-1)</f>
        <v/>
      </c>
      <c r="V375">
        <f t="shared" si="72"/>
        <v>0</v>
      </c>
      <c r="W375" s="8"/>
      <c r="Z375" s="6" t="str">
        <f t="shared" si="63"/>
        <v/>
      </c>
      <c r="AA375" s="6" t="str">
        <f t="shared" si="64"/>
        <v/>
      </c>
      <c r="AB375" s="6" t="str">
        <f t="shared" si="65"/>
        <v/>
      </c>
      <c r="AC375" s="6" t="str">
        <f t="shared" si="66"/>
        <v/>
      </c>
      <c r="AD375" s="6" t="str">
        <f t="shared" si="67"/>
        <v/>
      </c>
      <c r="AE375" s="6" t="str">
        <f t="shared" si="68"/>
        <v/>
      </c>
      <c r="AF375" s="6" t="str">
        <f t="shared" si="69"/>
        <v/>
      </c>
      <c r="AG375" s="6" t="str">
        <f t="shared" si="70"/>
        <v/>
      </c>
      <c r="AH375" s="6" t="str">
        <f t="shared" si="71"/>
        <v/>
      </c>
    </row>
    <row r="376" spans="1:34">
      <c r="A376" s="9"/>
      <c r="C376" s="4" t="str">
        <f>IFERROR(VLOOKUP(B376,'Code Lists'!$A:$B,2,FALSE),"")</f>
        <v/>
      </c>
      <c r="F376" s="4" t="str">
        <f>IFERROR(VLOOKUP(E376,'Code Lists'!$D:$E,2,FALSE),"")</f>
        <v/>
      </c>
      <c r="H376" s="4" t="str">
        <f>IFERROR(VLOOKUP(G376,'Code Lists'!$G:$H,2,FALSE),"")</f>
        <v/>
      </c>
      <c r="J376" s="10"/>
      <c r="M376" s="11"/>
      <c r="Q376" s="7" t="str">
        <f>IF(VedAarnaSKUMaster[[#This Row],[HSN/SAC Code]]=998822,5%,IF(VedAarnaSKUMaster[[#This Row],[HSN/SAC Code]]=998391,18%,IF(VedAarnaSKUMaster[[#This Row],[HSN/SAC Code]]=998723,5%,"")))</f>
        <v/>
      </c>
      <c r="R376" s="5" t="str">
        <f t="shared" si="61"/>
        <v/>
      </c>
      <c r="S376" s="5" t="str">
        <f t="shared" si="62"/>
        <v/>
      </c>
      <c r="T376" s="11"/>
      <c r="U376" s="8" t="str">
        <f>IF(OR(VedAarnaSKUMaster[[#This Row],[Selling Price]]="",VedAarnaSKUMaster[[#This Row],[Selling Price]]=0),"",CEILING(VedAarnaSKUMaster[[#This Row],[Selling Price]]/(1-20%),100)-1)</f>
        <v/>
      </c>
      <c r="V376">
        <f t="shared" si="72"/>
        <v>0</v>
      </c>
      <c r="W376" s="8"/>
      <c r="Z376" s="6" t="str">
        <f t="shared" si="63"/>
        <v/>
      </c>
      <c r="AA376" s="6" t="str">
        <f t="shared" si="64"/>
        <v/>
      </c>
      <c r="AB376" s="6" t="str">
        <f t="shared" si="65"/>
        <v/>
      </c>
      <c r="AC376" s="6" t="str">
        <f t="shared" si="66"/>
        <v/>
      </c>
      <c r="AD376" s="6" t="str">
        <f t="shared" si="67"/>
        <v/>
      </c>
      <c r="AE376" s="6" t="str">
        <f t="shared" si="68"/>
        <v/>
      </c>
      <c r="AF376" s="6" t="str">
        <f t="shared" si="69"/>
        <v/>
      </c>
      <c r="AG376" s="6" t="str">
        <f t="shared" si="70"/>
        <v/>
      </c>
      <c r="AH376" s="6" t="str">
        <f t="shared" si="71"/>
        <v/>
      </c>
    </row>
    <row r="377" spans="1:34">
      <c r="A377" s="9"/>
      <c r="C377" s="4" t="str">
        <f>IFERROR(VLOOKUP(B377,'Code Lists'!$A:$B,2,FALSE),"")</f>
        <v/>
      </c>
      <c r="F377" s="4" t="str">
        <f>IFERROR(VLOOKUP(E377,'Code Lists'!$D:$E,2,FALSE),"")</f>
        <v/>
      </c>
      <c r="H377" s="4" t="str">
        <f>IFERROR(VLOOKUP(G377,'Code Lists'!$G:$H,2,FALSE),"")</f>
        <v/>
      </c>
      <c r="J377" s="10"/>
      <c r="M377" s="11"/>
      <c r="Q377" s="7" t="str">
        <f>IF(VedAarnaSKUMaster[[#This Row],[HSN/SAC Code]]=998822,5%,IF(VedAarnaSKUMaster[[#This Row],[HSN/SAC Code]]=998391,18%,IF(VedAarnaSKUMaster[[#This Row],[HSN/SAC Code]]=998723,5%,"")))</f>
        <v/>
      </c>
      <c r="R377" s="5" t="str">
        <f t="shared" si="61"/>
        <v/>
      </c>
      <c r="S377" s="5" t="str">
        <f t="shared" si="62"/>
        <v/>
      </c>
      <c r="T377" s="11"/>
      <c r="U377" s="8" t="str">
        <f>IF(OR(VedAarnaSKUMaster[[#This Row],[Selling Price]]="",VedAarnaSKUMaster[[#This Row],[Selling Price]]=0),"",CEILING(VedAarnaSKUMaster[[#This Row],[Selling Price]]/(1-20%),100)-1)</f>
        <v/>
      </c>
      <c r="V377">
        <f t="shared" si="72"/>
        <v>0</v>
      </c>
      <c r="W377" s="8"/>
      <c r="Z377" s="6" t="str">
        <f t="shared" si="63"/>
        <v/>
      </c>
      <c r="AA377" s="6" t="str">
        <f t="shared" si="64"/>
        <v/>
      </c>
      <c r="AB377" s="6" t="str">
        <f t="shared" si="65"/>
        <v/>
      </c>
      <c r="AC377" s="6" t="str">
        <f t="shared" si="66"/>
        <v/>
      </c>
      <c r="AD377" s="6" t="str">
        <f t="shared" si="67"/>
        <v/>
      </c>
      <c r="AE377" s="6" t="str">
        <f t="shared" si="68"/>
        <v/>
      </c>
      <c r="AF377" s="6" t="str">
        <f t="shared" si="69"/>
        <v/>
      </c>
      <c r="AG377" s="6" t="str">
        <f t="shared" si="70"/>
        <v/>
      </c>
      <c r="AH377" s="6" t="str">
        <f t="shared" si="71"/>
        <v/>
      </c>
    </row>
    <row r="378" spans="1:34">
      <c r="A378" s="9"/>
      <c r="C378" s="4" t="str">
        <f>IFERROR(VLOOKUP(B378,'Code Lists'!$A:$B,2,FALSE),"")</f>
        <v/>
      </c>
      <c r="F378" s="4" t="str">
        <f>IFERROR(VLOOKUP(E378,'Code Lists'!$D:$E,2,FALSE),"")</f>
        <v/>
      </c>
      <c r="H378" s="4" t="str">
        <f>IFERROR(VLOOKUP(G378,'Code Lists'!$G:$H,2,FALSE),"")</f>
        <v/>
      </c>
      <c r="J378" s="10"/>
      <c r="M378" s="11"/>
      <c r="Q378" s="7" t="str">
        <f>IF(VedAarnaSKUMaster[[#This Row],[HSN/SAC Code]]=998822,5%,IF(VedAarnaSKUMaster[[#This Row],[HSN/SAC Code]]=998391,18%,IF(VedAarnaSKUMaster[[#This Row],[HSN/SAC Code]]=998723,5%,"")))</f>
        <v/>
      </c>
      <c r="R378" s="5" t="str">
        <f t="shared" si="61"/>
        <v/>
      </c>
      <c r="S378" s="5" t="str">
        <f t="shared" si="62"/>
        <v/>
      </c>
      <c r="T378" s="11"/>
      <c r="U378" s="8" t="str">
        <f>IF(OR(VedAarnaSKUMaster[[#This Row],[Selling Price]]="",VedAarnaSKUMaster[[#This Row],[Selling Price]]=0),"",CEILING(VedAarnaSKUMaster[[#This Row],[Selling Price]]/(1-20%),100)-1)</f>
        <v/>
      </c>
      <c r="V378">
        <f t="shared" si="72"/>
        <v>0</v>
      </c>
      <c r="W378" s="8"/>
      <c r="Z378" s="6" t="str">
        <f t="shared" si="63"/>
        <v/>
      </c>
      <c r="AA378" s="6" t="str">
        <f t="shared" si="64"/>
        <v/>
      </c>
      <c r="AB378" s="6" t="str">
        <f t="shared" si="65"/>
        <v/>
      </c>
      <c r="AC378" s="6" t="str">
        <f t="shared" si="66"/>
        <v/>
      </c>
      <c r="AD378" s="6" t="str">
        <f t="shared" si="67"/>
        <v/>
      </c>
      <c r="AE378" s="6" t="str">
        <f t="shared" si="68"/>
        <v/>
      </c>
      <c r="AF378" s="6" t="str">
        <f t="shared" si="69"/>
        <v/>
      </c>
      <c r="AG378" s="6" t="str">
        <f t="shared" si="70"/>
        <v/>
      </c>
      <c r="AH378" s="6" t="str">
        <f t="shared" si="71"/>
        <v/>
      </c>
    </row>
    <row r="379" spans="1:34">
      <c r="A379" s="9"/>
      <c r="C379" s="4" t="str">
        <f>IFERROR(VLOOKUP(B379,'Code Lists'!$A:$B,2,FALSE),"")</f>
        <v/>
      </c>
      <c r="F379" s="4" t="str">
        <f>IFERROR(VLOOKUP(E379,'Code Lists'!$D:$E,2,FALSE),"")</f>
        <v/>
      </c>
      <c r="H379" s="4" t="str">
        <f>IFERROR(VLOOKUP(G379,'Code Lists'!$G:$H,2,FALSE),"")</f>
        <v/>
      </c>
      <c r="J379" s="10"/>
      <c r="M379" s="11"/>
      <c r="Q379" s="7" t="str">
        <f>IF(VedAarnaSKUMaster[[#This Row],[HSN/SAC Code]]=998822,5%,IF(VedAarnaSKUMaster[[#This Row],[HSN/SAC Code]]=998391,18%,IF(VedAarnaSKUMaster[[#This Row],[HSN/SAC Code]]=998723,5%,"")))</f>
        <v/>
      </c>
      <c r="R379" s="5" t="str">
        <f t="shared" si="61"/>
        <v/>
      </c>
      <c r="S379" s="5" t="str">
        <f t="shared" si="62"/>
        <v/>
      </c>
      <c r="T379" s="11"/>
      <c r="U379" s="8" t="str">
        <f>IF(OR(VedAarnaSKUMaster[[#This Row],[Selling Price]]="",VedAarnaSKUMaster[[#This Row],[Selling Price]]=0),"",CEILING(VedAarnaSKUMaster[[#This Row],[Selling Price]]/(1-20%),100)-1)</f>
        <v/>
      </c>
      <c r="V379">
        <f t="shared" si="72"/>
        <v>0</v>
      </c>
      <c r="W379" s="8"/>
      <c r="Z379" s="6" t="str">
        <f t="shared" si="63"/>
        <v/>
      </c>
      <c r="AA379" s="6" t="str">
        <f t="shared" si="64"/>
        <v/>
      </c>
      <c r="AB379" s="6" t="str">
        <f t="shared" si="65"/>
        <v/>
      </c>
      <c r="AC379" s="6" t="str">
        <f t="shared" si="66"/>
        <v/>
      </c>
      <c r="AD379" s="6" t="str">
        <f t="shared" si="67"/>
        <v/>
      </c>
      <c r="AE379" s="6" t="str">
        <f t="shared" si="68"/>
        <v/>
      </c>
      <c r="AF379" s="6" t="str">
        <f t="shared" si="69"/>
        <v/>
      </c>
      <c r="AG379" s="6" t="str">
        <f t="shared" si="70"/>
        <v/>
      </c>
      <c r="AH379" s="6" t="str">
        <f t="shared" si="71"/>
        <v/>
      </c>
    </row>
    <row r="380" spans="1:34">
      <c r="A380" s="9"/>
      <c r="C380" s="4" t="str">
        <f>IFERROR(VLOOKUP(B380,'Code Lists'!$A:$B,2,FALSE),"")</f>
        <v/>
      </c>
      <c r="F380" s="4" t="str">
        <f>IFERROR(VLOOKUP(E380,'Code Lists'!$D:$E,2,FALSE),"")</f>
        <v/>
      </c>
      <c r="H380" s="4" t="str">
        <f>IFERROR(VLOOKUP(G380,'Code Lists'!$G:$H,2,FALSE),"")</f>
        <v/>
      </c>
      <c r="J380" s="10"/>
      <c r="M380" s="11"/>
      <c r="Q380" s="7" t="str">
        <f>IF(VedAarnaSKUMaster[[#This Row],[HSN/SAC Code]]=998822,5%,IF(VedAarnaSKUMaster[[#This Row],[HSN/SAC Code]]=998391,18%,IF(VedAarnaSKUMaster[[#This Row],[HSN/SAC Code]]=998723,5%,"")))</f>
        <v/>
      </c>
      <c r="R380" s="5" t="str">
        <f t="shared" si="61"/>
        <v/>
      </c>
      <c r="S380" s="5" t="str">
        <f t="shared" si="62"/>
        <v/>
      </c>
      <c r="T380" s="11"/>
      <c r="U380" s="8" t="str">
        <f>IF(OR(VedAarnaSKUMaster[[#This Row],[Selling Price]]="",VedAarnaSKUMaster[[#This Row],[Selling Price]]=0),"",CEILING(VedAarnaSKUMaster[[#This Row],[Selling Price]]/(1-20%),100)-1)</f>
        <v/>
      </c>
      <c r="V380">
        <f t="shared" si="72"/>
        <v>0</v>
      </c>
      <c r="W380" s="8"/>
      <c r="Z380" s="6" t="str">
        <f t="shared" si="63"/>
        <v/>
      </c>
      <c r="AA380" s="6" t="str">
        <f t="shared" si="64"/>
        <v/>
      </c>
      <c r="AB380" s="6" t="str">
        <f t="shared" si="65"/>
        <v/>
      </c>
      <c r="AC380" s="6" t="str">
        <f t="shared" si="66"/>
        <v/>
      </c>
      <c r="AD380" s="6" t="str">
        <f t="shared" si="67"/>
        <v/>
      </c>
      <c r="AE380" s="6" t="str">
        <f t="shared" si="68"/>
        <v/>
      </c>
      <c r="AF380" s="6" t="str">
        <f t="shared" si="69"/>
        <v/>
      </c>
      <c r="AG380" s="6" t="str">
        <f t="shared" si="70"/>
        <v/>
      </c>
      <c r="AH380" s="6" t="str">
        <f t="shared" si="71"/>
        <v/>
      </c>
    </row>
    <row r="381" spans="1:34">
      <c r="A381" s="9"/>
      <c r="C381" s="4" t="str">
        <f>IFERROR(VLOOKUP(B381,'Code Lists'!$A:$B,2,FALSE),"")</f>
        <v/>
      </c>
      <c r="F381" s="4" t="str">
        <f>IFERROR(VLOOKUP(E381,'Code Lists'!$D:$E,2,FALSE),"")</f>
        <v/>
      </c>
      <c r="H381" s="4" t="str">
        <f>IFERROR(VLOOKUP(G381,'Code Lists'!$G:$H,2,FALSE),"")</f>
        <v/>
      </c>
      <c r="J381" s="10"/>
      <c r="M381" s="11"/>
      <c r="Q381" s="7" t="str">
        <f>IF(VedAarnaSKUMaster[[#This Row],[HSN/SAC Code]]=998822,5%,IF(VedAarnaSKUMaster[[#This Row],[HSN/SAC Code]]=998391,18%,IF(VedAarnaSKUMaster[[#This Row],[HSN/SAC Code]]=998723,5%,"")))</f>
        <v/>
      </c>
      <c r="R381" s="5" t="str">
        <f t="shared" si="61"/>
        <v/>
      </c>
      <c r="S381" s="5" t="str">
        <f t="shared" si="62"/>
        <v/>
      </c>
      <c r="T381" s="11"/>
      <c r="U381" s="8" t="str">
        <f>IF(OR(VedAarnaSKUMaster[[#This Row],[Selling Price]]="",VedAarnaSKUMaster[[#This Row],[Selling Price]]=0),"",CEILING(VedAarnaSKUMaster[[#This Row],[Selling Price]]/(1-20%),100)-1)</f>
        <v/>
      </c>
      <c r="V381">
        <f t="shared" si="72"/>
        <v>0</v>
      </c>
      <c r="W381" s="8"/>
      <c r="Z381" s="6" t="str">
        <f t="shared" si="63"/>
        <v/>
      </c>
      <c r="AA381" s="6" t="str">
        <f t="shared" si="64"/>
        <v/>
      </c>
      <c r="AB381" s="6" t="str">
        <f t="shared" si="65"/>
        <v/>
      </c>
      <c r="AC381" s="6" t="str">
        <f t="shared" si="66"/>
        <v/>
      </c>
      <c r="AD381" s="6" t="str">
        <f t="shared" si="67"/>
        <v/>
      </c>
      <c r="AE381" s="6" t="str">
        <f t="shared" si="68"/>
        <v/>
      </c>
      <c r="AF381" s="6" t="str">
        <f t="shared" si="69"/>
        <v/>
      </c>
      <c r="AG381" s="6" t="str">
        <f t="shared" si="70"/>
        <v/>
      </c>
      <c r="AH381" s="6" t="str">
        <f t="shared" si="71"/>
        <v/>
      </c>
    </row>
    <row r="382" spans="1:34">
      <c r="A382" s="9"/>
      <c r="C382" s="4" t="str">
        <f>IFERROR(VLOOKUP(B382,'Code Lists'!$A:$B,2,FALSE),"")</f>
        <v/>
      </c>
      <c r="F382" s="4" t="str">
        <f>IFERROR(VLOOKUP(E382,'Code Lists'!$D:$E,2,FALSE),"")</f>
        <v/>
      </c>
      <c r="H382" s="4" t="str">
        <f>IFERROR(VLOOKUP(G382,'Code Lists'!$G:$H,2,FALSE),"")</f>
        <v/>
      </c>
      <c r="J382" s="10"/>
      <c r="M382" s="11"/>
      <c r="Q382" s="7" t="str">
        <f>IF(VedAarnaSKUMaster[[#This Row],[HSN/SAC Code]]=998822,5%,IF(VedAarnaSKUMaster[[#This Row],[HSN/SAC Code]]=998391,18%,IF(VedAarnaSKUMaster[[#This Row],[HSN/SAC Code]]=998723,5%,"")))</f>
        <v/>
      </c>
      <c r="R382" s="5" t="str">
        <f t="shared" si="61"/>
        <v/>
      </c>
      <c r="S382" s="5" t="str">
        <f t="shared" si="62"/>
        <v/>
      </c>
      <c r="T382" s="11"/>
      <c r="U382" s="8" t="str">
        <f>IF(OR(VedAarnaSKUMaster[[#This Row],[Selling Price]]="",VedAarnaSKUMaster[[#This Row],[Selling Price]]=0),"",CEILING(VedAarnaSKUMaster[[#This Row],[Selling Price]]/(1-20%),100)-1)</f>
        <v/>
      </c>
      <c r="V382">
        <f t="shared" si="72"/>
        <v>0</v>
      </c>
      <c r="W382" s="8"/>
      <c r="Z382" s="6" t="str">
        <f t="shared" si="63"/>
        <v/>
      </c>
      <c r="AA382" s="6" t="str">
        <f t="shared" si="64"/>
        <v/>
      </c>
      <c r="AB382" s="6" t="str">
        <f t="shared" si="65"/>
        <v/>
      </c>
      <c r="AC382" s="6" t="str">
        <f t="shared" si="66"/>
        <v/>
      </c>
      <c r="AD382" s="6" t="str">
        <f t="shared" si="67"/>
        <v/>
      </c>
      <c r="AE382" s="6" t="str">
        <f t="shared" si="68"/>
        <v/>
      </c>
      <c r="AF382" s="6" t="str">
        <f t="shared" si="69"/>
        <v/>
      </c>
      <c r="AG382" s="6" t="str">
        <f t="shared" si="70"/>
        <v/>
      </c>
      <c r="AH382" s="6" t="str">
        <f t="shared" si="71"/>
        <v/>
      </c>
    </row>
    <row r="383" spans="1:34">
      <c r="A383" s="9"/>
      <c r="C383" s="4" t="str">
        <f>IFERROR(VLOOKUP(B383,'Code Lists'!$A:$B,2,FALSE),"")</f>
        <v/>
      </c>
      <c r="F383" s="4" t="str">
        <f>IFERROR(VLOOKUP(E383,'Code Lists'!$D:$E,2,FALSE),"")</f>
        <v/>
      </c>
      <c r="H383" s="4" t="str">
        <f>IFERROR(VLOOKUP(G383,'Code Lists'!$G:$H,2,FALSE),"")</f>
        <v/>
      </c>
      <c r="J383" s="10"/>
      <c r="M383" s="11"/>
      <c r="Q383" s="7" t="str">
        <f>IF(VedAarnaSKUMaster[[#This Row],[HSN/SAC Code]]=998822,5%,IF(VedAarnaSKUMaster[[#This Row],[HSN/SAC Code]]=998391,18%,IF(VedAarnaSKUMaster[[#This Row],[HSN/SAC Code]]=998723,5%,"")))</f>
        <v/>
      </c>
      <c r="R383" s="5" t="str">
        <f t="shared" si="61"/>
        <v/>
      </c>
      <c r="S383" s="5" t="str">
        <f t="shared" si="62"/>
        <v/>
      </c>
      <c r="T383" s="11"/>
      <c r="U383" s="8" t="str">
        <f>IF(OR(VedAarnaSKUMaster[[#This Row],[Selling Price]]="",VedAarnaSKUMaster[[#This Row],[Selling Price]]=0),"",CEILING(VedAarnaSKUMaster[[#This Row],[Selling Price]]/(1-20%),100)-1)</f>
        <v/>
      </c>
      <c r="V383">
        <f t="shared" si="72"/>
        <v>0</v>
      </c>
      <c r="W383" s="8"/>
      <c r="Z383" s="6" t="str">
        <f t="shared" si="63"/>
        <v/>
      </c>
      <c r="AA383" s="6" t="str">
        <f t="shared" si="64"/>
        <v/>
      </c>
      <c r="AB383" s="6" t="str">
        <f t="shared" si="65"/>
        <v/>
      </c>
      <c r="AC383" s="6" t="str">
        <f t="shared" si="66"/>
        <v/>
      </c>
      <c r="AD383" s="6" t="str">
        <f t="shared" si="67"/>
        <v/>
      </c>
      <c r="AE383" s="6" t="str">
        <f t="shared" si="68"/>
        <v/>
      </c>
      <c r="AF383" s="6" t="str">
        <f t="shared" si="69"/>
        <v/>
      </c>
      <c r="AG383" s="6" t="str">
        <f t="shared" si="70"/>
        <v/>
      </c>
      <c r="AH383" s="6" t="str">
        <f t="shared" si="71"/>
        <v/>
      </c>
    </row>
    <row r="384" spans="1:34">
      <c r="A384" s="9"/>
      <c r="C384" s="4" t="str">
        <f>IFERROR(VLOOKUP(B384,'Code Lists'!$A:$B,2,FALSE),"")</f>
        <v/>
      </c>
      <c r="F384" s="4" t="str">
        <f>IFERROR(VLOOKUP(E384,'Code Lists'!$D:$E,2,FALSE),"")</f>
        <v/>
      </c>
      <c r="H384" s="4" t="str">
        <f>IFERROR(VLOOKUP(G384,'Code Lists'!$G:$H,2,FALSE),"")</f>
        <v/>
      </c>
      <c r="J384" s="10"/>
      <c r="M384" s="11"/>
      <c r="Q384" s="7" t="str">
        <f>IF(VedAarnaSKUMaster[[#This Row],[HSN/SAC Code]]=998822,5%,IF(VedAarnaSKUMaster[[#This Row],[HSN/SAC Code]]=998391,18%,IF(VedAarnaSKUMaster[[#This Row],[HSN/SAC Code]]=998723,5%,"")))</f>
        <v/>
      </c>
      <c r="R384" s="5" t="str">
        <f t="shared" si="61"/>
        <v/>
      </c>
      <c r="S384" s="5" t="str">
        <f t="shared" si="62"/>
        <v/>
      </c>
      <c r="T384" s="11"/>
      <c r="U384" s="8" t="str">
        <f>IF(OR(VedAarnaSKUMaster[[#This Row],[Selling Price]]="",VedAarnaSKUMaster[[#This Row],[Selling Price]]=0),"",CEILING(VedAarnaSKUMaster[[#This Row],[Selling Price]]/(1-20%),100)-1)</f>
        <v/>
      </c>
      <c r="V384">
        <f t="shared" si="72"/>
        <v>0</v>
      </c>
      <c r="W384" s="8"/>
      <c r="Z384" s="6" t="str">
        <f t="shared" si="63"/>
        <v/>
      </c>
      <c r="AA384" s="6" t="str">
        <f t="shared" si="64"/>
        <v/>
      </c>
      <c r="AB384" s="6" t="str">
        <f t="shared" si="65"/>
        <v/>
      </c>
      <c r="AC384" s="6" t="str">
        <f t="shared" si="66"/>
        <v/>
      </c>
      <c r="AD384" s="6" t="str">
        <f t="shared" si="67"/>
        <v/>
      </c>
      <c r="AE384" s="6" t="str">
        <f t="shared" si="68"/>
        <v/>
      </c>
      <c r="AF384" s="6" t="str">
        <f t="shared" si="69"/>
        <v/>
      </c>
      <c r="AG384" s="6" t="str">
        <f t="shared" si="70"/>
        <v/>
      </c>
      <c r="AH384" s="6" t="str">
        <f t="shared" si="71"/>
        <v/>
      </c>
    </row>
    <row r="385" spans="1:34">
      <c r="A385" s="9"/>
      <c r="C385" s="4" t="str">
        <f>IFERROR(VLOOKUP(B385,'Code Lists'!$A:$B,2,FALSE),"")</f>
        <v/>
      </c>
      <c r="F385" s="4" t="str">
        <f>IFERROR(VLOOKUP(E385,'Code Lists'!$D:$E,2,FALSE),"")</f>
        <v/>
      </c>
      <c r="H385" s="4" t="str">
        <f>IFERROR(VLOOKUP(G385,'Code Lists'!$G:$H,2,FALSE),"")</f>
        <v/>
      </c>
      <c r="J385" s="10"/>
      <c r="M385" s="11"/>
      <c r="Q385" s="7" t="str">
        <f>IF(VedAarnaSKUMaster[[#This Row],[HSN/SAC Code]]=998822,5%,IF(VedAarnaSKUMaster[[#This Row],[HSN/SAC Code]]=998391,18%,IF(VedAarnaSKUMaster[[#This Row],[HSN/SAC Code]]=998723,5%,"")))</f>
        <v/>
      </c>
      <c r="R385" s="5" t="str">
        <f t="shared" ref="R385:R448" si="73">IF(OR(A385="",C385="",H385="",J385=""),"","VS-"&amp;C385&amp;IF(D385&lt;&gt;"","-"&amp;D385,"")&amp;"-"&amp;TEXT(A385,"0000")&amp;"-"&amp;H385&amp;"-"&amp;RIGHT(TEXT(J385,"0000"),2))</f>
        <v/>
      </c>
      <c r="S385" s="5" t="str">
        <f t="shared" ref="S385:S448" si="74">IF(OR(A385="",C385="",F385="",H385="",I385="",J385=""),"","VS-"&amp;C385&amp;IF(D385&lt;&gt;"","-"&amp;D385,"")&amp;"-"&amp;TEXT(A385,"0000")&amp;"-"&amp;F385&amp;"-"&amp;H385&amp;"-"&amp;I385&amp;"-"&amp;RIGHT(TEXT(J385,"0000"),2))</f>
        <v/>
      </c>
      <c r="T385" s="11"/>
      <c r="U385" s="8" t="str">
        <f>IF(OR(VedAarnaSKUMaster[[#This Row],[Selling Price]]="",VedAarnaSKUMaster[[#This Row],[Selling Price]]=0),"",CEILING(VedAarnaSKUMaster[[#This Row],[Selling Price]]/(1-20%),100)-1)</f>
        <v/>
      </c>
      <c r="V385">
        <f t="shared" si="72"/>
        <v>0</v>
      </c>
      <c r="W385" s="8"/>
      <c r="Z385" s="6" t="str">
        <f t="shared" si="63"/>
        <v/>
      </c>
      <c r="AA385" s="6" t="str">
        <f t="shared" si="64"/>
        <v/>
      </c>
      <c r="AB385" s="6" t="str">
        <f t="shared" si="65"/>
        <v/>
      </c>
      <c r="AC385" s="6" t="str">
        <f t="shared" si="66"/>
        <v/>
      </c>
      <c r="AD385" s="6" t="str">
        <f t="shared" si="67"/>
        <v/>
      </c>
      <c r="AE385" s="6" t="str">
        <f t="shared" si="68"/>
        <v/>
      </c>
      <c r="AF385" s="6" t="str">
        <f t="shared" si="69"/>
        <v/>
      </c>
      <c r="AG385" s="6" t="str">
        <f t="shared" si="70"/>
        <v/>
      </c>
      <c r="AH385" s="6" t="str">
        <f t="shared" si="71"/>
        <v/>
      </c>
    </row>
    <row r="386" spans="1:34">
      <c r="A386" s="9"/>
      <c r="C386" s="4" t="str">
        <f>IFERROR(VLOOKUP(B386,'Code Lists'!$A:$B,2,FALSE),"")</f>
        <v/>
      </c>
      <c r="F386" s="4" t="str">
        <f>IFERROR(VLOOKUP(E386,'Code Lists'!$D:$E,2,FALSE),"")</f>
        <v/>
      </c>
      <c r="H386" s="4" t="str">
        <f>IFERROR(VLOOKUP(G386,'Code Lists'!$G:$H,2,FALSE),"")</f>
        <v/>
      </c>
      <c r="J386" s="10"/>
      <c r="M386" s="11"/>
      <c r="Q386" s="7" t="str">
        <f>IF(VedAarnaSKUMaster[[#This Row],[HSN/SAC Code]]=998822,5%,IF(VedAarnaSKUMaster[[#This Row],[HSN/SAC Code]]=998391,18%,IF(VedAarnaSKUMaster[[#This Row],[HSN/SAC Code]]=998723,5%,"")))</f>
        <v/>
      </c>
      <c r="R386" s="5" t="str">
        <f t="shared" si="73"/>
        <v/>
      </c>
      <c r="S386" s="5" t="str">
        <f t="shared" si="74"/>
        <v/>
      </c>
      <c r="T386" s="11"/>
      <c r="U386" s="8" t="str">
        <f>IF(OR(VedAarnaSKUMaster[[#This Row],[Selling Price]]="",VedAarnaSKUMaster[[#This Row],[Selling Price]]=0),"",CEILING(VedAarnaSKUMaster[[#This Row],[Selling Price]]/(1-20%),100)-1)</f>
        <v/>
      </c>
      <c r="V386">
        <f t="shared" si="72"/>
        <v>0</v>
      </c>
      <c r="W386" s="8"/>
      <c r="Z386" s="6" t="str">
        <f t="shared" ref="Z386:Z449" si="75">IF($R386="","",$R386&amp;"-01-FR.png")</f>
        <v/>
      </c>
      <c r="AA386" s="6" t="str">
        <f t="shared" ref="AA386:AA449" si="76">IF($R386="","",$R386&amp;"-02-SD.png")</f>
        <v/>
      </c>
      <c r="AB386" s="6" t="str">
        <f t="shared" ref="AB386:AB449" si="77">IF($R386="","",$R386&amp;"-03-BK.png")</f>
        <v/>
      </c>
      <c r="AC386" s="6" t="str">
        <f t="shared" ref="AC386:AC449" si="78">IF($R386="","",$R386&amp;"-04-CD.png")</f>
        <v/>
      </c>
      <c r="AD386" s="6" t="str">
        <f t="shared" ref="AD386:AD449" si="79">IF($R386="","",$R386&amp;"-05-WK.png")</f>
        <v/>
      </c>
      <c r="AE386" s="6" t="str">
        <f t="shared" ref="AE386:AE449" si="80">IF($R386="","",$R386&amp;"-06-ST.png")</f>
        <v/>
      </c>
      <c r="AF386" s="6" t="str">
        <f t="shared" ref="AF386:AF449" si="81">IF($R386="","",$R386&amp;"-FB.png")</f>
        <v/>
      </c>
      <c r="AG386" s="6" t="str">
        <f t="shared" ref="AG386:AG449" si="82">IF($R386="","",$R386&amp;"-DT.png")</f>
        <v/>
      </c>
      <c r="AH386" s="6" t="str">
        <f t="shared" ref="AH386:AH449" si="83">IF($R386="","",$R386&amp;"-REF-01.png")</f>
        <v/>
      </c>
    </row>
    <row r="387" spans="1:34">
      <c r="A387" s="9"/>
      <c r="C387" s="4" t="str">
        <f>IFERROR(VLOOKUP(B387,'Code Lists'!$A:$B,2,FALSE),"")</f>
        <v/>
      </c>
      <c r="F387" s="4" t="str">
        <f>IFERROR(VLOOKUP(E387,'Code Lists'!$D:$E,2,FALSE),"")</f>
        <v/>
      </c>
      <c r="H387" s="4" t="str">
        <f>IFERROR(VLOOKUP(G387,'Code Lists'!$G:$H,2,FALSE),"")</f>
        <v/>
      </c>
      <c r="J387" s="10"/>
      <c r="M387" s="11"/>
      <c r="Q387" s="7" t="str">
        <f>IF(VedAarnaSKUMaster[[#This Row],[HSN/SAC Code]]=998822,5%,IF(VedAarnaSKUMaster[[#This Row],[HSN/SAC Code]]=998391,18%,IF(VedAarnaSKUMaster[[#This Row],[HSN/SAC Code]]=998723,5%,"")))</f>
        <v/>
      </c>
      <c r="R387" s="5" t="str">
        <f t="shared" si="73"/>
        <v/>
      </c>
      <c r="S387" s="5" t="str">
        <f t="shared" si="74"/>
        <v/>
      </c>
      <c r="T387" s="11"/>
      <c r="U387" s="8" t="str">
        <f>IF(OR(VedAarnaSKUMaster[[#This Row],[Selling Price]]="",VedAarnaSKUMaster[[#This Row],[Selling Price]]=0),"",CEILING(VedAarnaSKUMaster[[#This Row],[Selling Price]]/(1-20%),100)-1)</f>
        <v/>
      </c>
      <c r="V387">
        <f t="shared" ref="V387:V450" si="84">ROUND(W387/(1-50%),-2)</f>
        <v>0</v>
      </c>
      <c r="W387" s="8"/>
      <c r="Z387" s="6" t="str">
        <f t="shared" si="75"/>
        <v/>
      </c>
      <c r="AA387" s="6" t="str">
        <f t="shared" si="76"/>
        <v/>
      </c>
      <c r="AB387" s="6" t="str">
        <f t="shared" si="77"/>
        <v/>
      </c>
      <c r="AC387" s="6" t="str">
        <f t="shared" si="78"/>
        <v/>
      </c>
      <c r="AD387" s="6" t="str">
        <f t="shared" si="79"/>
        <v/>
      </c>
      <c r="AE387" s="6" t="str">
        <f t="shared" si="80"/>
        <v/>
      </c>
      <c r="AF387" s="6" t="str">
        <f t="shared" si="81"/>
        <v/>
      </c>
      <c r="AG387" s="6" t="str">
        <f t="shared" si="82"/>
        <v/>
      </c>
      <c r="AH387" s="6" t="str">
        <f t="shared" si="83"/>
        <v/>
      </c>
    </row>
    <row r="388" spans="1:34">
      <c r="A388" s="9"/>
      <c r="C388" s="4" t="str">
        <f>IFERROR(VLOOKUP(B388,'Code Lists'!$A:$B,2,FALSE),"")</f>
        <v/>
      </c>
      <c r="F388" s="4" t="str">
        <f>IFERROR(VLOOKUP(E388,'Code Lists'!$D:$E,2,FALSE),"")</f>
        <v/>
      </c>
      <c r="H388" s="4" t="str">
        <f>IFERROR(VLOOKUP(G388,'Code Lists'!$G:$H,2,FALSE),"")</f>
        <v/>
      </c>
      <c r="J388" s="10"/>
      <c r="M388" s="11"/>
      <c r="Q388" s="7" t="str">
        <f>IF(VedAarnaSKUMaster[[#This Row],[HSN/SAC Code]]=998822,5%,IF(VedAarnaSKUMaster[[#This Row],[HSN/SAC Code]]=998391,18%,IF(VedAarnaSKUMaster[[#This Row],[HSN/SAC Code]]=998723,5%,"")))</f>
        <v/>
      </c>
      <c r="R388" s="5" t="str">
        <f t="shared" si="73"/>
        <v/>
      </c>
      <c r="S388" s="5" t="str">
        <f t="shared" si="74"/>
        <v/>
      </c>
      <c r="T388" s="11"/>
      <c r="U388" s="8" t="str">
        <f>IF(OR(VedAarnaSKUMaster[[#This Row],[Selling Price]]="",VedAarnaSKUMaster[[#This Row],[Selling Price]]=0),"",CEILING(VedAarnaSKUMaster[[#This Row],[Selling Price]]/(1-20%),100)-1)</f>
        <v/>
      </c>
      <c r="V388">
        <f t="shared" si="84"/>
        <v>0</v>
      </c>
      <c r="W388" s="8"/>
      <c r="Z388" s="6" t="str">
        <f t="shared" si="75"/>
        <v/>
      </c>
      <c r="AA388" s="6" t="str">
        <f t="shared" si="76"/>
        <v/>
      </c>
      <c r="AB388" s="6" t="str">
        <f t="shared" si="77"/>
        <v/>
      </c>
      <c r="AC388" s="6" t="str">
        <f t="shared" si="78"/>
        <v/>
      </c>
      <c r="AD388" s="6" t="str">
        <f t="shared" si="79"/>
        <v/>
      </c>
      <c r="AE388" s="6" t="str">
        <f t="shared" si="80"/>
        <v/>
      </c>
      <c r="AF388" s="6" t="str">
        <f t="shared" si="81"/>
        <v/>
      </c>
      <c r="AG388" s="6" t="str">
        <f t="shared" si="82"/>
        <v/>
      </c>
      <c r="AH388" s="6" t="str">
        <f t="shared" si="83"/>
        <v/>
      </c>
    </row>
    <row r="389" spans="1:34">
      <c r="A389" s="9"/>
      <c r="C389" s="4" t="str">
        <f>IFERROR(VLOOKUP(B389,'Code Lists'!$A:$B,2,FALSE),"")</f>
        <v/>
      </c>
      <c r="F389" s="4" t="str">
        <f>IFERROR(VLOOKUP(E389,'Code Lists'!$D:$E,2,FALSE),"")</f>
        <v/>
      </c>
      <c r="H389" s="4" t="str">
        <f>IFERROR(VLOOKUP(G389,'Code Lists'!$G:$H,2,FALSE),"")</f>
        <v/>
      </c>
      <c r="J389" s="10"/>
      <c r="M389" s="11"/>
      <c r="Q389" s="7" t="str">
        <f>IF(VedAarnaSKUMaster[[#This Row],[HSN/SAC Code]]=998822,5%,IF(VedAarnaSKUMaster[[#This Row],[HSN/SAC Code]]=998391,18%,IF(VedAarnaSKUMaster[[#This Row],[HSN/SAC Code]]=998723,5%,"")))</f>
        <v/>
      </c>
      <c r="R389" s="5" t="str">
        <f t="shared" si="73"/>
        <v/>
      </c>
      <c r="S389" s="5" t="str">
        <f t="shared" si="74"/>
        <v/>
      </c>
      <c r="T389" s="11"/>
      <c r="U389" s="8" t="str">
        <f>IF(OR(VedAarnaSKUMaster[[#This Row],[Selling Price]]="",VedAarnaSKUMaster[[#This Row],[Selling Price]]=0),"",CEILING(VedAarnaSKUMaster[[#This Row],[Selling Price]]/(1-20%),100)-1)</f>
        <v/>
      </c>
      <c r="V389">
        <f t="shared" si="84"/>
        <v>0</v>
      </c>
      <c r="W389" s="8"/>
      <c r="Z389" s="6" t="str">
        <f t="shared" si="75"/>
        <v/>
      </c>
      <c r="AA389" s="6" t="str">
        <f t="shared" si="76"/>
        <v/>
      </c>
      <c r="AB389" s="6" t="str">
        <f t="shared" si="77"/>
        <v/>
      </c>
      <c r="AC389" s="6" t="str">
        <f t="shared" si="78"/>
        <v/>
      </c>
      <c r="AD389" s="6" t="str">
        <f t="shared" si="79"/>
        <v/>
      </c>
      <c r="AE389" s="6" t="str">
        <f t="shared" si="80"/>
        <v/>
      </c>
      <c r="AF389" s="6" t="str">
        <f t="shared" si="81"/>
        <v/>
      </c>
      <c r="AG389" s="6" t="str">
        <f t="shared" si="82"/>
        <v/>
      </c>
      <c r="AH389" s="6" t="str">
        <f t="shared" si="83"/>
        <v/>
      </c>
    </row>
    <row r="390" spans="1:34">
      <c r="A390" s="9"/>
      <c r="C390" s="4" t="str">
        <f>IFERROR(VLOOKUP(B390,'Code Lists'!$A:$B,2,FALSE),"")</f>
        <v/>
      </c>
      <c r="F390" s="4" t="str">
        <f>IFERROR(VLOOKUP(E390,'Code Lists'!$D:$E,2,FALSE),"")</f>
        <v/>
      </c>
      <c r="H390" s="4" t="str">
        <f>IFERROR(VLOOKUP(G390,'Code Lists'!$G:$H,2,FALSE),"")</f>
        <v/>
      </c>
      <c r="J390" s="10"/>
      <c r="M390" s="11"/>
      <c r="Q390" s="7" t="str">
        <f>IF(VedAarnaSKUMaster[[#This Row],[HSN/SAC Code]]=998822,5%,IF(VedAarnaSKUMaster[[#This Row],[HSN/SAC Code]]=998391,18%,IF(VedAarnaSKUMaster[[#This Row],[HSN/SAC Code]]=998723,5%,"")))</f>
        <v/>
      </c>
      <c r="R390" s="5" t="str">
        <f t="shared" si="73"/>
        <v/>
      </c>
      <c r="S390" s="5" t="str">
        <f t="shared" si="74"/>
        <v/>
      </c>
      <c r="T390" s="11"/>
      <c r="U390" s="8" t="str">
        <f>IF(OR(VedAarnaSKUMaster[[#This Row],[Selling Price]]="",VedAarnaSKUMaster[[#This Row],[Selling Price]]=0),"",CEILING(VedAarnaSKUMaster[[#This Row],[Selling Price]]/(1-20%),100)-1)</f>
        <v/>
      </c>
      <c r="V390">
        <f t="shared" si="84"/>
        <v>0</v>
      </c>
      <c r="W390" s="8"/>
      <c r="Z390" s="6" t="str">
        <f t="shared" si="75"/>
        <v/>
      </c>
      <c r="AA390" s="6" t="str">
        <f t="shared" si="76"/>
        <v/>
      </c>
      <c r="AB390" s="6" t="str">
        <f t="shared" si="77"/>
        <v/>
      </c>
      <c r="AC390" s="6" t="str">
        <f t="shared" si="78"/>
        <v/>
      </c>
      <c r="AD390" s="6" t="str">
        <f t="shared" si="79"/>
        <v/>
      </c>
      <c r="AE390" s="6" t="str">
        <f t="shared" si="80"/>
        <v/>
      </c>
      <c r="AF390" s="6" t="str">
        <f t="shared" si="81"/>
        <v/>
      </c>
      <c r="AG390" s="6" t="str">
        <f t="shared" si="82"/>
        <v/>
      </c>
      <c r="AH390" s="6" t="str">
        <f t="shared" si="83"/>
        <v/>
      </c>
    </row>
    <row r="391" spans="1:34">
      <c r="A391" s="9"/>
      <c r="C391" s="4" t="str">
        <f>IFERROR(VLOOKUP(B391,'Code Lists'!$A:$B,2,FALSE),"")</f>
        <v/>
      </c>
      <c r="F391" s="4" t="str">
        <f>IFERROR(VLOOKUP(E391,'Code Lists'!$D:$E,2,FALSE),"")</f>
        <v/>
      </c>
      <c r="H391" s="4" t="str">
        <f>IFERROR(VLOOKUP(G391,'Code Lists'!$G:$H,2,FALSE),"")</f>
        <v/>
      </c>
      <c r="J391" s="10"/>
      <c r="M391" s="11"/>
      <c r="Q391" s="7" t="str">
        <f>IF(VedAarnaSKUMaster[[#This Row],[HSN/SAC Code]]=998822,5%,IF(VedAarnaSKUMaster[[#This Row],[HSN/SAC Code]]=998391,18%,IF(VedAarnaSKUMaster[[#This Row],[HSN/SAC Code]]=998723,5%,"")))</f>
        <v/>
      </c>
      <c r="R391" s="5" t="str">
        <f t="shared" si="73"/>
        <v/>
      </c>
      <c r="S391" s="5" t="str">
        <f t="shared" si="74"/>
        <v/>
      </c>
      <c r="T391" s="11"/>
      <c r="U391" s="8" t="str">
        <f>IF(OR(VedAarnaSKUMaster[[#This Row],[Selling Price]]="",VedAarnaSKUMaster[[#This Row],[Selling Price]]=0),"",CEILING(VedAarnaSKUMaster[[#This Row],[Selling Price]]/(1-20%),100)-1)</f>
        <v/>
      </c>
      <c r="V391">
        <f t="shared" si="84"/>
        <v>0</v>
      </c>
      <c r="W391" s="8"/>
      <c r="Z391" s="6" t="str">
        <f t="shared" si="75"/>
        <v/>
      </c>
      <c r="AA391" s="6" t="str">
        <f t="shared" si="76"/>
        <v/>
      </c>
      <c r="AB391" s="6" t="str">
        <f t="shared" si="77"/>
        <v/>
      </c>
      <c r="AC391" s="6" t="str">
        <f t="shared" si="78"/>
        <v/>
      </c>
      <c r="AD391" s="6" t="str">
        <f t="shared" si="79"/>
        <v/>
      </c>
      <c r="AE391" s="6" t="str">
        <f t="shared" si="80"/>
        <v/>
      </c>
      <c r="AF391" s="6" t="str">
        <f t="shared" si="81"/>
        <v/>
      </c>
      <c r="AG391" s="6" t="str">
        <f t="shared" si="82"/>
        <v/>
      </c>
      <c r="AH391" s="6" t="str">
        <f t="shared" si="83"/>
        <v/>
      </c>
    </row>
    <row r="392" spans="1:34">
      <c r="A392" s="9"/>
      <c r="C392" s="4" t="str">
        <f>IFERROR(VLOOKUP(B392,'Code Lists'!$A:$B,2,FALSE),"")</f>
        <v/>
      </c>
      <c r="F392" s="4" t="str">
        <f>IFERROR(VLOOKUP(E392,'Code Lists'!$D:$E,2,FALSE),"")</f>
        <v/>
      </c>
      <c r="H392" s="4" t="str">
        <f>IFERROR(VLOOKUP(G392,'Code Lists'!$G:$H,2,FALSE),"")</f>
        <v/>
      </c>
      <c r="J392" s="10"/>
      <c r="M392" s="11"/>
      <c r="Q392" s="7" t="str">
        <f>IF(VedAarnaSKUMaster[[#This Row],[HSN/SAC Code]]=998822,5%,IF(VedAarnaSKUMaster[[#This Row],[HSN/SAC Code]]=998391,18%,IF(VedAarnaSKUMaster[[#This Row],[HSN/SAC Code]]=998723,5%,"")))</f>
        <v/>
      </c>
      <c r="R392" s="5" t="str">
        <f t="shared" si="73"/>
        <v/>
      </c>
      <c r="S392" s="5" t="str">
        <f t="shared" si="74"/>
        <v/>
      </c>
      <c r="T392" s="11"/>
      <c r="U392" s="8" t="str">
        <f>IF(OR(VedAarnaSKUMaster[[#This Row],[Selling Price]]="",VedAarnaSKUMaster[[#This Row],[Selling Price]]=0),"",CEILING(VedAarnaSKUMaster[[#This Row],[Selling Price]]/(1-20%),100)-1)</f>
        <v/>
      </c>
      <c r="V392">
        <f t="shared" si="84"/>
        <v>0</v>
      </c>
      <c r="W392" s="8"/>
      <c r="Z392" s="6" t="str">
        <f t="shared" si="75"/>
        <v/>
      </c>
      <c r="AA392" s="6" t="str">
        <f t="shared" si="76"/>
        <v/>
      </c>
      <c r="AB392" s="6" t="str">
        <f t="shared" si="77"/>
        <v/>
      </c>
      <c r="AC392" s="6" t="str">
        <f t="shared" si="78"/>
        <v/>
      </c>
      <c r="AD392" s="6" t="str">
        <f t="shared" si="79"/>
        <v/>
      </c>
      <c r="AE392" s="6" t="str">
        <f t="shared" si="80"/>
        <v/>
      </c>
      <c r="AF392" s="6" t="str">
        <f t="shared" si="81"/>
        <v/>
      </c>
      <c r="AG392" s="6" t="str">
        <f t="shared" si="82"/>
        <v/>
      </c>
      <c r="AH392" s="6" t="str">
        <f t="shared" si="83"/>
        <v/>
      </c>
    </row>
    <row r="393" spans="1:34">
      <c r="A393" s="9"/>
      <c r="C393" s="4" t="str">
        <f>IFERROR(VLOOKUP(B393,'Code Lists'!$A:$B,2,FALSE),"")</f>
        <v/>
      </c>
      <c r="F393" s="4" t="str">
        <f>IFERROR(VLOOKUP(E393,'Code Lists'!$D:$E,2,FALSE),"")</f>
        <v/>
      </c>
      <c r="H393" s="4" t="str">
        <f>IFERROR(VLOOKUP(G393,'Code Lists'!$G:$H,2,FALSE),"")</f>
        <v/>
      </c>
      <c r="J393" s="10"/>
      <c r="M393" s="11"/>
      <c r="Q393" s="7" t="str">
        <f>IF(VedAarnaSKUMaster[[#This Row],[HSN/SAC Code]]=998822,5%,IF(VedAarnaSKUMaster[[#This Row],[HSN/SAC Code]]=998391,18%,IF(VedAarnaSKUMaster[[#This Row],[HSN/SAC Code]]=998723,5%,"")))</f>
        <v/>
      </c>
      <c r="R393" s="5" t="str">
        <f t="shared" si="73"/>
        <v/>
      </c>
      <c r="S393" s="5" t="str">
        <f t="shared" si="74"/>
        <v/>
      </c>
      <c r="T393" s="11"/>
      <c r="U393" s="8" t="str">
        <f>IF(OR(VedAarnaSKUMaster[[#This Row],[Selling Price]]="",VedAarnaSKUMaster[[#This Row],[Selling Price]]=0),"",CEILING(VedAarnaSKUMaster[[#This Row],[Selling Price]]/(1-20%),100)-1)</f>
        <v/>
      </c>
      <c r="V393">
        <f t="shared" si="84"/>
        <v>0</v>
      </c>
      <c r="W393" s="8"/>
      <c r="Z393" s="6" t="str">
        <f t="shared" si="75"/>
        <v/>
      </c>
      <c r="AA393" s="6" t="str">
        <f t="shared" si="76"/>
        <v/>
      </c>
      <c r="AB393" s="6" t="str">
        <f t="shared" si="77"/>
        <v/>
      </c>
      <c r="AC393" s="6" t="str">
        <f t="shared" si="78"/>
        <v/>
      </c>
      <c r="AD393" s="6" t="str">
        <f t="shared" si="79"/>
        <v/>
      </c>
      <c r="AE393" s="6" t="str">
        <f t="shared" si="80"/>
        <v/>
      </c>
      <c r="AF393" s="6" t="str">
        <f t="shared" si="81"/>
        <v/>
      </c>
      <c r="AG393" s="6" t="str">
        <f t="shared" si="82"/>
        <v/>
      </c>
      <c r="AH393" s="6" t="str">
        <f t="shared" si="83"/>
        <v/>
      </c>
    </row>
    <row r="394" spans="1:34">
      <c r="A394" s="9"/>
      <c r="C394" s="4" t="str">
        <f>IFERROR(VLOOKUP(B394,'Code Lists'!$A:$B,2,FALSE),"")</f>
        <v/>
      </c>
      <c r="F394" s="4" t="str">
        <f>IFERROR(VLOOKUP(E394,'Code Lists'!$D:$E,2,FALSE),"")</f>
        <v/>
      </c>
      <c r="H394" s="4" t="str">
        <f>IFERROR(VLOOKUP(G394,'Code Lists'!$G:$H,2,FALSE),"")</f>
        <v/>
      </c>
      <c r="J394" s="10"/>
      <c r="M394" s="11"/>
      <c r="Q394" s="7" t="str">
        <f>IF(VedAarnaSKUMaster[[#This Row],[HSN/SAC Code]]=998822,5%,IF(VedAarnaSKUMaster[[#This Row],[HSN/SAC Code]]=998391,18%,IF(VedAarnaSKUMaster[[#This Row],[HSN/SAC Code]]=998723,5%,"")))</f>
        <v/>
      </c>
      <c r="R394" s="5" t="str">
        <f t="shared" si="73"/>
        <v/>
      </c>
      <c r="S394" s="5" t="str">
        <f t="shared" si="74"/>
        <v/>
      </c>
      <c r="T394" s="11"/>
      <c r="U394" s="8" t="str">
        <f>IF(OR(VedAarnaSKUMaster[[#This Row],[Selling Price]]="",VedAarnaSKUMaster[[#This Row],[Selling Price]]=0),"",CEILING(VedAarnaSKUMaster[[#This Row],[Selling Price]]/(1-20%),100)-1)</f>
        <v/>
      </c>
      <c r="V394">
        <f t="shared" si="84"/>
        <v>0</v>
      </c>
      <c r="W394" s="8"/>
      <c r="Z394" s="6" t="str">
        <f t="shared" si="75"/>
        <v/>
      </c>
      <c r="AA394" s="6" t="str">
        <f t="shared" si="76"/>
        <v/>
      </c>
      <c r="AB394" s="6" t="str">
        <f t="shared" si="77"/>
        <v/>
      </c>
      <c r="AC394" s="6" t="str">
        <f t="shared" si="78"/>
        <v/>
      </c>
      <c r="AD394" s="6" t="str">
        <f t="shared" si="79"/>
        <v/>
      </c>
      <c r="AE394" s="6" t="str">
        <f t="shared" si="80"/>
        <v/>
      </c>
      <c r="AF394" s="6" t="str">
        <f t="shared" si="81"/>
        <v/>
      </c>
      <c r="AG394" s="6" t="str">
        <f t="shared" si="82"/>
        <v/>
      </c>
      <c r="AH394" s="6" t="str">
        <f t="shared" si="83"/>
        <v/>
      </c>
    </row>
    <row r="395" spans="1:34">
      <c r="A395" s="9"/>
      <c r="C395" s="4" t="str">
        <f>IFERROR(VLOOKUP(B395,'Code Lists'!$A:$B,2,FALSE),"")</f>
        <v/>
      </c>
      <c r="F395" s="4" t="str">
        <f>IFERROR(VLOOKUP(E395,'Code Lists'!$D:$E,2,FALSE),"")</f>
        <v/>
      </c>
      <c r="H395" s="4" t="str">
        <f>IFERROR(VLOOKUP(G395,'Code Lists'!$G:$H,2,FALSE),"")</f>
        <v/>
      </c>
      <c r="J395" s="10"/>
      <c r="M395" s="11"/>
      <c r="Q395" s="7" t="str">
        <f>IF(VedAarnaSKUMaster[[#This Row],[HSN/SAC Code]]=998822,5%,IF(VedAarnaSKUMaster[[#This Row],[HSN/SAC Code]]=998391,18%,IF(VedAarnaSKUMaster[[#This Row],[HSN/SAC Code]]=998723,5%,"")))</f>
        <v/>
      </c>
      <c r="R395" s="5" t="str">
        <f t="shared" si="73"/>
        <v/>
      </c>
      <c r="S395" s="5" t="str">
        <f t="shared" si="74"/>
        <v/>
      </c>
      <c r="T395" s="11"/>
      <c r="U395" s="8" t="str">
        <f>IF(OR(VedAarnaSKUMaster[[#This Row],[Selling Price]]="",VedAarnaSKUMaster[[#This Row],[Selling Price]]=0),"",CEILING(VedAarnaSKUMaster[[#This Row],[Selling Price]]/(1-20%),100)-1)</f>
        <v/>
      </c>
      <c r="V395">
        <f t="shared" si="84"/>
        <v>0</v>
      </c>
      <c r="W395" s="8"/>
      <c r="Z395" s="6" t="str">
        <f t="shared" si="75"/>
        <v/>
      </c>
      <c r="AA395" s="6" t="str">
        <f t="shared" si="76"/>
        <v/>
      </c>
      <c r="AB395" s="6" t="str">
        <f t="shared" si="77"/>
        <v/>
      </c>
      <c r="AC395" s="6" t="str">
        <f t="shared" si="78"/>
        <v/>
      </c>
      <c r="AD395" s="6" t="str">
        <f t="shared" si="79"/>
        <v/>
      </c>
      <c r="AE395" s="6" t="str">
        <f t="shared" si="80"/>
        <v/>
      </c>
      <c r="AF395" s="6" t="str">
        <f t="shared" si="81"/>
        <v/>
      </c>
      <c r="AG395" s="6" t="str">
        <f t="shared" si="82"/>
        <v/>
      </c>
      <c r="AH395" s="6" t="str">
        <f t="shared" si="83"/>
        <v/>
      </c>
    </row>
    <row r="396" spans="1:34">
      <c r="A396" s="9"/>
      <c r="C396" s="4" t="str">
        <f>IFERROR(VLOOKUP(B396,'Code Lists'!$A:$B,2,FALSE),"")</f>
        <v/>
      </c>
      <c r="F396" s="4" t="str">
        <f>IFERROR(VLOOKUP(E396,'Code Lists'!$D:$E,2,FALSE),"")</f>
        <v/>
      </c>
      <c r="H396" s="4" t="str">
        <f>IFERROR(VLOOKUP(G396,'Code Lists'!$G:$H,2,FALSE),"")</f>
        <v/>
      </c>
      <c r="J396" s="10"/>
      <c r="M396" s="11"/>
      <c r="Q396" s="7" t="str">
        <f>IF(VedAarnaSKUMaster[[#This Row],[HSN/SAC Code]]=998822,5%,IF(VedAarnaSKUMaster[[#This Row],[HSN/SAC Code]]=998391,18%,IF(VedAarnaSKUMaster[[#This Row],[HSN/SAC Code]]=998723,5%,"")))</f>
        <v/>
      </c>
      <c r="R396" s="5" t="str">
        <f t="shared" si="73"/>
        <v/>
      </c>
      <c r="S396" s="5" t="str">
        <f t="shared" si="74"/>
        <v/>
      </c>
      <c r="T396" s="11"/>
      <c r="U396" s="8" t="str">
        <f>IF(OR(VedAarnaSKUMaster[[#This Row],[Selling Price]]="",VedAarnaSKUMaster[[#This Row],[Selling Price]]=0),"",CEILING(VedAarnaSKUMaster[[#This Row],[Selling Price]]/(1-20%),100)-1)</f>
        <v/>
      </c>
      <c r="V396">
        <f t="shared" si="84"/>
        <v>0</v>
      </c>
      <c r="W396" s="8"/>
      <c r="Z396" s="6" t="str">
        <f t="shared" si="75"/>
        <v/>
      </c>
      <c r="AA396" s="6" t="str">
        <f t="shared" si="76"/>
        <v/>
      </c>
      <c r="AB396" s="6" t="str">
        <f t="shared" si="77"/>
        <v/>
      </c>
      <c r="AC396" s="6" t="str">
        <f t="shared" si="78"/>
        <v/>
      </c>
      <c r="AD396" s="6" t="str">
        <f t="shared" si="79"/>
        <v/>
      </c>
      <c r="AE396" s="6" t="str">
        <f t="shared" si="80"/>
        <v/>
      </c>
      <c r="AF396" s="6" t="str">
        <f t="shared" si="81"/>
        <v/>
      </c>
      <c r="AG396" s="6" t="str">
        <f t="shared" si="82"/>
        <v/>
      </c>
      <c r="AH396" s="6" t="str">
        <f t="shared" si="83"/>
        <v/>
      </c>
    </row>
    <row r="397" spans="1:34">
      <c r="A397" s="9"/>
      <c r="C397" s="4" t="str">
        <f>IFERROR(VLOOKUP(B397,'Code Lists'!$A:$B,2,FALSE),"")</f>
        <v/>
      </c>
      <c r="F397" s="4" t="str">
        <f>IFERROR(VLOOKUP(E397,'Code Lists'!$D:$E,2,FALSE),"")</f>
        <v/>
      </c>
      <c r="H397" s="4" t="str">
        <f>IFERROR(VLOOKUP(G397,'Code Lists'!$G:$H,2,FALSE),"")</f>
        <v/>
      </c>
      <c r="J397" s="10"/>
      <c r="M397" s="11"/>
      <c r="Q397" s="7" t="str">
        <f>IF(VedAarnaSKUMaster[[#This Row],[HSN/SAC Code]]=998822,5%,IF(VedAarnaSKUMaster[[#This Row],[HSN/SAC Code]]=998391,18%,IF(VedAarnaSKUMaster[[#This Row],[HSN/SAC Code]]=998723,5%,"")))</f>
        <v/>
      </c>
      <c r="R397" s="5" t="str">
        <f t="shared" si="73"/>
        <v/>
      </c>
      <c r="S397" s="5" t="str">
        <f t="shared" si="74"/>
        <v/>
      </c>
      <c r="T397" s="11"/>
      <c r="U397" s="8" t="str">
        <f>IF(OR(VedAarnaSKUMaster[[#This Row],[Selling Price]]="",VedAarnaSKUMaster[[#This Row],[Selling Price]]=0),"",CEILING(VedAarnaSKUMaster[[#This Row],[Selling Price]]/(1-20%),100)-1)</f>
        <v/>
      </c>
      <c r="V397">
        <f t="shared" si="84"/>
        <v>0</v>
      </c>
      <c r="W397" s="8"/>
      <c r="Z397" s="6" t="str">
        <f t="shared" si="75"/>
        <v/>
      </c>
      <c r="AA397" s="6" t="str">
        <f t="shared" si="76"/>
        <v/>
      </c>
      <c r="AB397" s="6" t="str">
        <f t="shared" si="77"/>
        <v/>
      </c>
      <c r="AC397" s="6" t="str">
        <f t="shared" si="78"/>
        <v/>
      </c>
      <c r="AD397" s="6" t="str">
        <f t="shared" si="79"/>
        <v/>
      </c>
      <c r="AE397" s="6" t="str">
        <f t="shared" si="80"/>
        <v/>
      </c>
      <c r="AF397" s="6" t="str">
        <f t="shared" si="81"/>
        <v/>
      </c>
      <c r="AG397" s="6" t="str">
        <f t="shared" si="82"/>
        <v/>
      </c>
      <c r="AH397" s="6" t="str">
        <f t="shared" si="83"/>
        <v/>
      </c>
    </row>
    <row r="398" spans="1:34">
      <c r="A398" s="9"/>
      <c r="C398" s="4" t="str">
        <f>IFERROR(VLOOKUP(B398,'Code Lists'!$A:$B,2,FALSE),"")</f>
        <v/>
      </c>
      <c r="F398" s="4" t="str">
        <f>IFERROR(VLOOKUP(E398,'Code Lists'!$D:$E,2,FALSE),"")</f>
        <v/>
      </c>
      <c r="H398" s="4" t="str">
        <f>IFERROR(VLOOKUP(G398,'Code Lists'!$G:$H,2,FALSE),"")</f>
        <v/>
      </c>
      <c r="J398" s="10"/>
      <c r="M398" s="11"/>
      <c r="Q398" s="7" t="str">
        <f>IF(VedAarnaSKUMaster[[#This Row],[HSN/SAC Code]]=998822,5%,IF(VedAarnaSKUMaster[[#This Row],[HSN/SAC Code]]=998391,18%,IF(VedAarnaSKUMaster[[#This Row],[HSN/SAC Code]]=998723,5%,"")))</f>
        <v/>
      </c>
      <c r="R398" s="5" t="str">
        <f t="shared" si="73"/>
        <v/>
      </c>
      <c r="S398" s="5" t="str">
        <f t="shared" si="74"/>
        <v/>
      </c>
      <c r="T398" s="11"/>
      <c r="U398" s="8" t="str">
        <f>IF(OR(VedAarnaSKUMaster[[#This Row],[Selling Price]]="",VedAarnaSKUMaster[[#This Row],[Selling Price]]=0),"",CEILING(VedAarnaSKUMaster[[#This Row],[Selling Price]]/(1-20%),100)-1)</f>
        <v/>
      </c>
      <c r="V398">
        <f t="shared" si="84"/>
        <v>0</v>
      </c>
      <c r="W398" s="8"/>
      <c r="Z398" s="6" t="str">
        <f t="shared" si="75"/>
        <v/>
      </c>
      <c r="AA398" s="6" t="str">
        <f t="shared" si="76"/>
        <v/>
      </c>
      <c r="AB398" s="6" t="str">
        <f t="shared" si="77"/>
        <v/>
      </c>
      <c r="AC398" s="6" t="str">
        <f t="shared" si="78"/>
        <v/>
      </c>
      <c r="AD398" s="6" t="str">
        <f t="shared" si="79"/>
        <v/>
      </c>
      <c r="AE398" s="6" t="str">
        <f t="shared" si="80"/>
        <v/>
      </c>
      <c r="AF398" s="6" t="str">
        <f t="shared" si="81"/>
        <v/>
      </c>
      <c r="AG398" s="6" t="str">
        <f t="shared" si="82"/>
        <v/>
      </c>
      <c r="AH398" s="6" t="str">
        <f t="shared" si="83"/>
        <v/>
      </c>
    </row>
    <row r="399" spans="1:34">
      <c r="A399" s="9"/>
      <c r="C399" s="4" t="str">
        <f>IFERROR(VLOOKUP(B399,'Code Lists'!$A:$B,2,FALSE),"")</f>
        <v/>
      </c>
      <c r="F399" s="4" t="str">
        <f>IFERROR(VLOOKUP(E399,'Code Lists'!$D:$E,2,FALSE),"")</f>
        <v/>
      </c>
      <c r="H399" s="4" t="str">
        <f>IFERROR(VLOOKUP(G399,'Code Lists'!$G:$H,2,FALSE),"")</f>
        <v/>
      </c>
      <c r="J399" s="10"/>
      <c r="M399" s="11"/>
      <c r="Q399" s="7" t="str">
        <f>IF(VedAarnaSKUMaster[[#This Row],[HSN/SAC Code]]=998822,5%,IF(VedAarnaSKUMaster[[#This Row],[HSN/SAC Code]]=998391,18%,IF(VedAarnaSKUMaster[[#This Row],[HSN/SAC Code]]=998723,5%,"")))</f>
        <v/>
      </c>
      <c r="R399" s="5" t="str">
        <f t="shared" si="73"/>
        <v/>
      </c>
      <c r="S399" s="5" t="str">
        <f t="shared" si="74"/>
        <v/>
      </c>
      <c r="T399" s="11"/>
      <c r="U399" s="8" t="str">
        <f>IF(OR(VedAarnaSKUMaster[[#This Row],[Selling Price]]="",VedAarnaSKUMaster[[#This Row],[Selling Price]]=0),"",CEILING(VedAarnaSKUMaster[[#This Row],[Selling Price]]/(1-20%),100)-1)</f>
        <v/>
      </c>
      <c r="V399">
        <f t="shared" si="84"/>
        <v>0</v>
      </c>
      <c r="W399" s="8"/>
      <c r="Z399" s="6" t="str">
        <f t="shared" si="75"/>
        <v/>
      </c>
      <c r="AA399" s="6" t="str">
        <f t="shared" si="76"/>
        <v/>
      </c>
      <c r="AB399" s="6" t="str">
        <f t="shared" si="77"/>
        <v/>
      </c>
      <c r="AC399" s="6" t="str">
        <f t="shared" si="78"/>
        <v/>
      </c>
      <c r="AD399" s="6" t="str">
        <f t="shared" si="79"/>
        <v/>
      </c>
      <c r="AE399" s="6" t="str">
        <f t="shared" si="80"/>
        <v/>
      </c>
      <c r="AF399" s="6" t="str">
        <f t="shared" si="81"/>
        <v/>
      </c>
      <c r="AG399" s="6" t="str">
        <f t="shared" si="82"/>
        <v/>
      </c>
      <c r="AH399" s="6" t="str">
        <f t="shared" si="83"/>
        <v/>
      </c>
    </row>
    <row r="400" spans="1:34">
      <c r="A400" s="9"/>
      <c r="C400" s="4" t="str">
        <f>IFERROR(VLOOKUP(B400,'Code Lists'!$A:$B,2,FALSE),"")</f>
        <v/>
      </c>
      <c r="F400" s="4" t="str">
        <f>IFERROR(VLOOKUP(E400,'Code Lists'!$D:$E,2,FALSE),"")</f>
        <v/>
      </c>
      <c r="H400" s="4" t="str">
        <f>IFERROR(VLOOKUP(G400,'Code Lists'!$G:$H,2,FALSE),"")</f>
        <v/>
      </c>
      <c r="J400" s="10"/>
      <c r="M400" s="11"/>
      <c r="Q400" s="7" t="str">
        <f>IF(VedAarnaSKUMaster[[#This Row],[HSN/SAC Code]]=998822,5%,IF(VedAarnaSKUMaster[[#This Row],[HSN/SAC Code]]=998391,18%,IF(VedAarnaSKUMaster[[#This Row],[HSN/SAC Code]]=998723,5%,"")))</f>
        <v/>
      </c>
      <c r="R400" s="5" t="str">
        <f t="shared" si="73"/>
        <v/>
      </c>
      <c r="S400" s="5" t="str">
        <f t="shared" si="74"/>
        <v/>
      </c>
      <c r="T400" s="11"/>
      <c r="U400" s="8" t="str">
        <f>IF(OR(VedAarnaSKUMaster[[#This Row],[Selling Price]]="",VedAarnaSKUMaster[[#This Row],[Selling Price]]=0),"",CEILING(VedAarnaSKUMaster[[#This Row],[Selling Price]]/(1-20%),100)-1)</f>
        <v/>
      </c>
      <c r="V400">
        <f t="shared" si="84"/>
        <v>0</v>
      </c>
      <c r="W400" s="8"/>
      <c r="Z400" s="6" t="str">
        <f t="shared" si="75"/>
        <v/>
      </c>
      <c r="AA400" s="6" t="str">
        <f t="shared" si="76"/>
        <v/>
      </c>
      <c r="AB400" s="6" t="str">
        <f t="shared" si="77"/>
        <v/>
      </c>
      <c r="AC400" s="6" t="str">
        <f t="shared" si="78"/>
        <v/>
      </c>
      <c r="AD400" s="6" t="str">
        <f t="shared" si="79"/>
        <v/>
      </c>
      <c r="AE400" s="6" t="str">
        <f t="shared" si="80"/>
        <v/>
      </c>
      <c r="AF400" s="6" t="str">
        <f t="shared" si="81"/>
        <v/>
      </c>
      <c r="AG400" s="6" t="str">
        <f t="shared" si="82"/>
        <v/>
      </c>
      <c r="AH400" s="6" t="str">
        <f t="shared" si="83"/>
        <v/>
      </c>
    </row>
    <row r="401" spans="1:34">
      <c r="A401" s="9"/>
      <c r="C401" s="4" t="str">
        <f>IFERROR(VLOOKUP(B401,'Code Lists'!$A:$B,2,FALSE),"")</f>
        <v/>
      </c>
      <c r="F401" s="4" t="str">
        <f>IFERROR(VLOOKUP(E401,'Code Lists'!$D:$E,2,FALSE),"")</f>
        <v/>
      </c>
      <c r="H401" s="4" t="str">
        <f>IFERROR(VLOOKUP(G401,'Code Lists'!$G:$H,2,FALSE),"")</f>
        <v/>
      </c>
      <c r="J401" s="10"/>
      <c r="M401" s="11"/>
      <c r="Q401" s="7" t="str">
        <f>IF(VedAarnaSKUMaster[[#This Row],[HSN/SAC Code]]=998822,5%,IF(VedAarnaSKUMaster[[#This Row],[HSN/SAC Code]]=998391,18%,IF(VedAarnaSKUMaster[[#This Row],[HSN/SAC Code]]=998723,5%,"")))</f>
        <v/>
      </c>
      <c r="R401" s="5" t="str">
        <f t="shared" si="73"/>
        <v/>
      </c>
      <c r="S401" s="5" t="str">
        <f t="shared" si="74"/>
        <v/>
      </c>
      <c r="T401" s="11"/>
      <c r="U401" s="8" t="str">
        <f>IF(OR(VedAarnaSKUMaster[[#This Row],[Selling Price]]="",VedAarnaSKUMaster[[#This Row],[Selling Price]]=0),"",CEILING(VedAarnaSKUMaster[[#This Row],[Selling Price]]/(1-20%),100)-1)</f>
        <v/>
      </c>
      <c r="V401">
        <f t="shared" si="84"/>
        <v>0</v>
      </c>
      <c r="W401" s="8"/>
      <c r="Z401" s="6" t="str">
        <f t="shared" si="75"/>
        <v/>
      </c>
      <c r="AA401" s="6" t="str">
        <f t="shared" si="76"/>
        <v/>
      </c>
      <c r="AB401" s="6" t="str">
        <f t="shared" si="77"/>
        <v/>
      </c>
      <c r="AC401" s="6" t="str">
        <f t="shared" si="78"/>
        <v/>
      </c>
      <c r="AD401" s="6" t="str">
        <f t="shared" si="79"/>
        <v/>
      </c>
      <c r="AE401" s="6" t="str">
        <f t="shared" si="80"/>
        <v/>
      </c>
      <c r="AF401" s="6" t="str">
        <f t="shared" si="81"/>
        <v/>
      </c>
      <c r="AG401" s="6" t="str">
        <f t="shared" si="82"/>
        <v/>
      </c>
      <c r="AH401" s="6" t="str">
        <f t="shared" si="83"/>
        <v/>
      </c>
    </row>
    <row r="402" spans="1:34">
      <c r="A402" s="9"/>
      <c r="C402" s="4" t="str">
        <f>IFERROR(VLOOKUP(B402,'Code Lists'!$A:$B,2,FALSE),"")</f>
        <v/>
      </c>
      <c r="F402" s="4" t="str">
        <f>IFERROR(VLOOKUP(E402,'Code Lists'!$D:$E,2,FALSE),"")</f>
        <v/>
      </c>
      <c r="H402" s="4" t="str">
        <f>IFERROR(VLOOKUP(G402,'Code Lists'!$G:$H,2,FALSE),"")</f>
        <v/>
      </c>
      <c r="J402" s="10"/>
      <c r="M402" s="11"/>
      <c r="Q402" s="7" t="str">
        <f>IF(VedAarnaSKUMaster[[#This Row],[HSN/SAC Code]]=998822,5%,IF(VedAarnaSKUMaster[[#This Row],[HSN/SAC Code]]=998391,18%,IF(VedAarnaSKUMaster[[#This Row],[HSN/SAC Code]]=998723,5%,"")))</f>
        <v/>
      </c>
      <c r="R402" s="5" t="str">
        <f t="shared" si="73"/>
        <v/>
      </c>
      <c r="S402" s="5" t="str">
        <f t="shared" si="74"/>
        <v/>
      </c>
      <c r="T402" s="11"/>
      <c r="U402" s="8" t="str">
        <f>IF(OR(VedAarnaSKUMaster[[#This Row],[Selling Price]]="",VedAarnaSKUMaster[[#This Row],[Selling Price]]=0),"",CEILING(VedAarnaSKUMaster[[#This Row],[Selling Price]]/(1-20%),100)-1)</f>
        <v/>
      </c>
      <c r="V402">
        <f t="shared" si="84"/>
        <v>0</v>
      </c>
      <c r="W402" s="8"/>
      <c r="Z402" s="6" t="str">
        <f t="shared" si="75"/>
        <v/>
      </c>
      <c r="AA402" s="6" t="str">
        <f t="shared" si="76"/>
        <v/>
      </c>
      <c r="AB402" s="6" t="str">
        <f t="shared" si="77"/>
        <v/>
      </c>
      <c r="AC402" s="6" t="str">
        <f t="shared" si="78"/>
        <v/>
      </c>
      <c r="AD402" s="6" t="str">
        <f t="shared" si="79"/>
        <v/>
      </c>
      <c r="AE402" s="6" t="str">
        <f t="shared" si="80"/>
        <v/>
      </c>
      <c r="AF402" s="6" t="str">
        <f t="shared" si="81"/>
        <v/>
      </c>
      <c r="AG402" s="6" t="str">
        <f t="shared" si="82"/>
        <v/>
      </c>
      <c r="AH402" s="6" t="str">
        <f t="shared" si="83"/>
        <v/>
      </c>
    </row>
    <row r="403" spans="1:34">
      <c r="A403" s="9"/>
      <c r="C403" s="4" t="str">
        <f>IFERROR(VLOOKUP(B403,'Code Lists'!$A:$B,2,FALSE),"")</f>
        <v/>
      </c>
      <c r="F403" s="4" t="str">
        <f>IFERROR(VLOOKUP(E403,'Code Lists'!$D:$E,2,FALSE),"")</f>
        <v/>
      </c>
      <c r="H403" s="4" t="str">
        <f>IFERROR(VLOOKUP(G403,'Code Lists'!$G:$H,2,FALSE),"")</f>
        <v/>
      </c>
      <c r="J403" s="10"/>
      <c r="M403" s="11"/>
      <c r="Q403" s="7" t="str">
        <f>IF(VedAarnaSKUMaster[[#This Row],[HSN/SAC Code]]=998822,5%,IF(VedAarnaSKUMaster[[#This Row],[HSN/SAC Code]]=998391,18%,IF(VedAarnaSKUMaster[[#This Row],[HSN/SAC Code]]=998723,5%,"")))</f>
        <v/>
      </c>
      <c r="R403" s="5" t="str">
        <f t="shared" si="73"/>
        <v/>
      </c>
      <c r="S403" s="5" t="str">
        <f t="shared" si="74"/>
        <v/>
      </c>
      <c r="T403" s="11"/>
      <c r="U403" s="8" t="str">
        <f>IF(OR(VedAarnaSKUMaster[[#This Row],[Selling Price]]="",VedAarnaSKUMaster[[#This Row],[Selling Price]]=0),"",CEILING(VedAarnaSKUMaster[[#This Row],[Selling Price]]/(1-20%),100)-1)</f>
        <v/>
      </c>
      <c r="V403">
        <f t="shared" si="84"/>
        <v>0</v>
      </c>
      <c r="W403" s="8"/>
      <c r="Z403" s="6" t="str">
        <f t="shared" si="75"/>
        <v/>
      </c>
      <c r="AA403" s="6" t="str">
        <f t="shared" si="76"/>
        <v/>
      </c>
      <c r="AB403" s="6" t="str">
        <f t="shared" si="77"/>
        <v/>
      </c>
      <c r="AC403" s="6" t="str">
        <f t="shared" si="78"/>
        <v/>
      </c>
      <c r="AD403" s="6" t="str">
        <f t="shared" si="79"/>
        <v/>
      </c>
      <c r="AE403" s="6" t="str">
        <f t="shared" si="80"/>
        <v/>
      </c>
      <c r="AF403" s="6" t="str">
        <f t="shared" si="81"/>
        <v/>
      </c>
      <c r="AG403" s="6" t="str">
        <f t="shared" si="82"/>
        <v/>
      </c>
      <c r="AH403" s="6" t="str">
        <f t="shared" si="83"/>
        <v/>
      </c>
    </row>
    <row r="404" spans="1:34">
      <c r="A404" s="9"/>
      <c r="C404" s="4" t="str">
        <f>IFERROR(VLOOKUP(B404,'Code Lists'!$A:$B,2,FALSE),"")</f>
        <v/>
      </c>
      <c r="F404" s="4" t="str">
        <f>IFERROR(VLOOKUP(E404,'Code Lists'!$D:$E,2,FALSE),"")</f>
        <v/>
      </c>
      <c r="H404" s="4" t="str">
        <f>IFERROR(VLOOKUP(G404,'Code Lists'!$G:$H,2,FALSE),"")</f>
        <v/>
      </c>
      <c r="J404" s="10"/>
      <c r="M404" s="11"/>
      <c r="Q404" s="7" t="str">
        <f>IF(VedAarnaSKUMaster[[#This Row],[HSN/SAC Code]]=998822,5%,IF(VedAarnaSKUMaster[[#This Row],[HSN/SAC Code]]=998391,18%,IF(VedAarnaSKUMaster[[#This Row],[HSN/SAC Code]]=998723,5%,"")))</f>
        <v/>
      </c>
      <c r="R404" s="5" t="str">
        <f t="shared" si="73"/>
        <v/>
      </c>
      <c r="S404" s="5" t="str">
        <f t="shared" si="74"/>
        <v/>
      </c>
      <c r="T404" s="11"/>
      <c r="U404" s="8" t="str">
        <f>IF(OR(VedAarnaSKUMaster[[#This Row],[Selling Price]]="",VedAarnaSKUMaster[[#This Row],[Selling Price]]=0),"",CEILING(VedAarnaSKUMaster[[#This Row],[Selling Price]]/(1-20%),100)-1)</f>
        <v/>
      </c>
      <c r="V404">
        <f t="shared" si="84"/>
        <v>0</v>
      </c>
      <c r="W404" s="8"/>
      <c r="Z404" s="6" t="str">
        <f t="shared" si="75"/>
        <v/>
      </c>
      <c r="AA404" s="6" t="str">
        <f t="shared" si="76"/>
        <v/>
      </c>
      <c r="AB404" s="6" t="str">
        <f t="shared" si="77"/>
        <v/>
      </c>
      <c r="AC404" s="6" t="str">
        <f t="shared" si="78"/>
        <v/>
      </c>
      <c r="AD404" s="6" t="str">
        <f t="shared" si="79"/>
        <v/>
      </c>
      <c r="AE404" s="6" t="str">
        <f t="shared" si="80"/>
        <v/>
      </c>
      <c r="AF404" s="6" t="str">
        <f t="shared" si="81"/>
        <v/>
      </c>
      <c r="AG404" s="6" t="str">
        <f t="shared" si="82"/>
        <v/>
      </c>
      <c r="AH404" s="6" t="str">
        <f t="shared" si="83"/>
        <v/>
      </c>
    </row>
    <row r="405" spans="1:34">
      <c r="A405" s="9"/>
      <c r="C405" s="4" t="str">
        <f>IFERROR(VLOOKUP(B405,'Code Lists'!$A:$B,2,FALSE),"")</f>
        <v/>
      </c>
      <c r="F405" s="4" t="str">
        <f>IFERROR(VLOOKUP(E405,'Code Lists'!$D:$E,2,FALSE),"")</f>
        <v/>
      </c>
      <c r="H405" s="4" t="str">
        <f>IFERROR(VLOOKUP(G405,'Code Lists'!$G:$H,2,FALSE),"")</f>
        <v/>
      </c>
      <c r="J405" s="10"/>
      <c r="M405" s="11"/>
      <c r="Q405" s="7" t="str">
        <f>IF(VedAarnaSKUMaster[[#This Row],[HSN/SAC Code]]=998822,5%,IF(VedAarnaSKUMaster[[#This Row],[HSN/SAC Code]]=998391,18%,IF(VedAarnaSKUMaster[[#This Row],[HSN/SAC Code]]=998723,5%,"")))</f>
        <v/>
      </c>
      <c r="R405" s="5" t="str">
        <f t="shared" si="73"/>
        <v/>
      </c>
      <c r="S405" s="5" t="str">
        <f t="shared" si="74"/>
        <v/>
      </c>
      <c r="T405" s="11"/>
      <c r="U405" s="8" t="str">
        <f>IF(OR(VedAarnaSKUMaster[[#This Row],[Selling Price]]="",VedAarnaSKUMaster[[#This Row],[Selling Price]]=0),"",CEILING(VedAarnaSKUMaster[[#This Row],[Selling Price]]/(1-20%),100)-1)</f>
        <v/>
      </c>
      <c r="V405">
        <f t="shared" si="84"/>
        <v>0</v>
      </c>
      <c r="W405" s="8"/>
      <c r="Z405" s="6" t="str">
        <f t="shared" si="75"/>
        <v/>
      </c>
      <c r="AA405" s="6" t="str">
        <f t="shared" si="76"/>
        <v/>
      </c>
      <c r="AB405" s="6" t="str">
        <f t="shared" si="77"/>
        <v/>
      </c>
      <c r="AC405" s="6" t="str">
        <f t="shared" si="78"/>
        <v/>
      </c>
      <c r="AD405" s="6" t="str">
        <f t="shared" si="79"/>
        <v/>
      </c>
      <c r="AE405" s="6" t="str">
        <f t="shared" si="80"/>
        <v/>
      </c>
      <c r="AF405" s="6" t="str">
        <f t="shared" si="81"/>
        <v/>
      </c>
      <c r="AG405" s="6" t="str">
        <f t="shared" si="82"/>
        <v/>
      </c>
      <c r="AH405" s="6" t="str">
        <f t="shared" si="83"/>
        <v/>
      </c>
    </row>
    <row r="406" spans="1:34">
      <c r="A406" s="9"/>
      <c r="C406" s="4" t="str">
        <f>IFERROR(VLOOKUP(B406,'Code Lists'!$A:$B,2,FALSE),"")</f>
        <v/>
      </c>
      <c r="F406" s="4" t="str">
        <f>IFERROR(VLOOKUP(E406,'Code Lists'!$D:$E,2,FALSE),"")</f>
        <v/>
      </c>
      <c r="H406" s="4" t="str">
        <f>IFERROR(VLOOKUP(G406,'Code Lists'!$G:$H,2,FALSE),"")</f>
        <v/>
      </c>
      <c r="J406" s="10"/>
      <c r="M406" s="11"/>
      <c r="Q406" s="7" t="str">
        <f>IF(VedAarnaSKUMaster[[#This Row],[HSN/SAC Code]]=998822,5%,IF(VedAarnaSKUMaster[[#This Row],[HSN/SAC Code]]=998391,18%,IF(VedAarnaSKUMaster[[#This Row],[HSN/SAC Code]]=998723,5%,"")))</f>
        <v/>
      </c>
      <c r="R406" s="5" t="str">
        <f t="shared" si="73"/>
        <v/>
      </c>
      <c r="S406" s="5" t="str">
        <f t="shared" si="74"/>
        <v/>
      </c>
      <c r="T406" s="11"/>
      <c r="U406" s="8" t="str">
        <f>IF(OR(VedAarnaSKUMaster[[#This Row],[Selling Price]]="",VedAarnaSKUMaster[[#This Row],[Selling Price]]=0),"",CEILING(VedAarnaSKUMaster[[#This Row],[Selling Price]]/(1-20%),100)-1)</f>
        <v/>
      </c>
      <c r="V406">
        <f t="shared" si="84"/>
        <v>0</v>
      </c>
      <c r="W406" s="8"/>
      <c r="Z406" s="6" t="str">
        <f t="shared" si="75"/>
        <v/>
      </c>
      <c r="AA406" s="6" t="str">
        <f t="shared" si="76"/>
        <v/>
      </c>
      <c r="AB406" s="6" t="str">
        <f t="shared" si="77"/>
        <v/>
      </c>
      <c r="AC406" s="6" t="str">
        <f t="shared" si="78"/>
        <v/>
      </c>
      <c r="AD406" s="6" t="str">
        <f t="shared" si="79"/>
        <v/>
      </c>
      <c r="AE406" s="6" t="str">
        <f t="shared" si="80"/>
        <v/>
      </c>
      <c r="AF406" s="6" t="str">
        <f t="shared" si="81"/>
        <v/>
      </c>
      <c r="AG406" s="6" t="str">
        <f t="shared" si="82"/>
        <v/>
      </c>
      <c r="AH406" s="6" t="str">
        <f t="shared" si="83"/>
        <v/>
      </c>
    </row>
    <row r="407" spans="1:34">
      <c r="A407" s="9"/>
      <c r="C407" s="4" t="str">
        <f>IFERROR(VLOOKUP(B407,'Code Lists'!$A:$B,2,FALSE),"")</f>
        <v/>
      </c>
      <c r="F407" s="4" t="str">
        <f>IFERROR(VLOOKUP(E407,'Code Lists'!$D:$E,2,FALSE),"")</f>
        <v/>
      </c>
      <c r="H407" s="4" t="str">
        <f>IFERROR(VLOOKUP(G407,'Code Lists'!$G:$H,2,FALSE),"")</f>
        <v/>
      </c>
      <c r="J407" s="10"/>
      <c r="M407" s="11"/>
      <c r="Q407" s="7" t="str">
        <f>IF(VedAarnaSKUMaster[[#This Row],[HSN/SAC Code]]=998822,5%,IF(VedAarnaSKUMaster[[#This Row],[HSN/SAC Code]]=998391,18%,IF(VedAarnaSKUMaster[[#This Row],[HSN/SAC Code]]=998723,5%,"")))</f>
        <v/>
      </c>
      <c r="R407" s="5" t="str">
        <f t="shared" si="73"/>
        <v/>
      </c>
      <c r="S407" s="5" t="str">
        <f t="shared" si="74"/>
        <v/>
      </c>
      <c r="T407" s="11"/>
      <c r="U407" s="8" t="str">
        <f>IF(OR(VedAarnaSKUMaster[[#This Row],[Selling Price]]="",VedAarnaSKUMaster[[#This Row],[Selling Price]]=0),"",CEILING(VedAarnaSKUMaster[[#This Row],[Selling Price]]/(1-20%),100)-1)</f>
        <v/>
      </c>
      <c r="V407">
        <f t="shared" si="84"/>
        <v>0</v>
      </c>
      <c r="W407" s="8"/>
      <c r="Z407" s="6" t="str">
        <f t="shared" si="75"/>
        <v/>
      </c>
      <c r="AA407" s="6" t="str">
        <f t="shared" si="76"/>
        <v/>
      </c>
      <c r="AB407" s="6" t="str">
        <f t="shared" si="77"/>
        <v/>
      </c>
      <c r="AC407" s="6" t="str">
        <f t="shared" si="78"/>
        <v/>
      </c>
      <c r="AD407" s="6" t="str">
        <f t="shared" si="79"/>
        <v/>
      </c>
      <c r="AE407" s="6" t="str">
        <f t="shared" si="80"/>
        <v/>
      </c>
      <c r="AF407" s="6" t="str">
        <f t="shared" si="81"/>
        <v/>
      </c>
      <c r="AG407" s="6" t="str">
        <f t="shared" si="82"/>
        <v/>
      </c>
      <c r="AH407" s="6" t="str">
        <f t="shared" si="83"/>
        <v/>
      </c>
    </row>
    <row r="408" spans="1:34">
      <c r="A408" s="9"/>
      <c r="C408" s="4" t="str">
        <f>IFERROR(VLOOKUP(B408,'Code Lists'!$A:$B,2,FALSE),"")</f>
        <v/>
      </c>
      <c r="F408" s="4" t="str">
        <f>IFERROR(VLOOKUP(E408,'Code Lists'!$D:$E,2,FALSE),"")</f>
        <v/>
      </c>
      <c r="H408" s="4" t="str">
        <f>IFERROR(VLOOKUP(G408,'Code Lists'!$G:$H,2,FALSE),"")</f>
        <v/>
      </c>
      <c r="J408" s="10"/>
      <c r="M408" s="11"/>
      <c r="Q408" s="7" t="str">
        <f>IF(VedAarnaSKUMaster[[#This Row],[HSN/SAC Code]]=998822,5%,IF(VedAarnaSKUMaster[[#This Row],[HSN/SAC Code]]=998391,18%,IF(VedAarnaSKUMaster[[#This Row],[HSN/SAC Code]]=998723,5%,"")))</f>
        <v/>
      </c>
      <c r="R408" s="5" t="str">
        <f t="shared" si="73"/>
        <v/>
      </c>
      <c r="S408" s="5" t="str">
        <f t="shared" si="74"/>
        <v/>
      </c>
      <c r="T408" s="11"/>
      <c r="U408" s="8" t="str">
        <f>IF(OR(VedAarnaSKUMaster[[#This Row],[Selling Price]]="",VedAarnaSKUMaster[[#This Row],[Selling Price]]=0),"",CEILING(VedAarnaSKUMaster[[#This Row],[Selling Price]]/(1-20%),100)-1)</f>
        <v/>
      </c>
      <c r="V408">
        <f t="shared" si="84"/>
        <v>0</v>
      </c>
      <c r="W408" s="8"/>
      <c r="Z408" s="6" t="str">
        <f t="shared" si="75"/>
        <v/>
      </c>
      <c r="AA408" s="6" t="str">
        <f t="shared" si="76"/>
        <v/>
      </c>
      <c r="AB408" s="6" t="str">
        <f t="shared" si="77"/>
        <v/>
      </c>
      <c r="AC408" s="6" t="str">
        <f t="shared" si="78"/>
        <v/>
      </c>
      <c r="AD408" s="6" t="str">
        <f t="shared" si="79"/>
        <v/>
      </c>
      <c r="AE408" s="6" t="str">
        <f t="shared" si="80"/>
        <v/>
      </c>
      <c r="AF408" s="6" t="str">
        <f t="shared" si="81"/>
        <v/>
      </c>
      <c r="AG408" s="6" t="str">
        <f t="shared" si="82"/>
        <v/>
      </c>
      <c r="AH408" s="6" t="str">
        <f t="shared" si="83"/>
        <v/>
      </c>
    </row>
    <row r="409" spans="1:34">
      <c r="A409" s="9"/>
      <c r="C409" s="4" t="str">
        <f>IFERROR(VLOOKUP(B409,'Code Lists'!$A:$B,2,FALSE),"")</f>
        <v/>
      </c>
      <c r="F409" s="4" t="str">
        <f>IFERROR(VLOOKUP(E409,'Code Lists'!$D:$E,2,FALSE),"")</f>
        <v/>
      </c>
      <c r="H409" s="4" t="str">
        <f>IFERROR(VLOOKUP(G409,'Code Lists'!$G:$H,2,FALSE),"")</f>
        <v/>
      </c>
      <c r="J409" s="10"/>
      <c r="M409" s="11"/>
      <c r="Q409" s="7" t="str">
        <f>IF(VedAarnaSKUMaster[[#This Row],[HSN/SAC Code]]=998822,5%,IF(VedAarnaSKUMaster[[#This Row],[HSN/SAC Code]]=998391,18%,IF(VedAarnaSKUMaster[[#This Row],[HSN/SAC Code]]=998723,5%,"")))</f>
        <v/>
      </c>
      <c r="R409" s="5" t="str">
        <f t="shared" si="73"/>
        <v/>
      </c>
      <c r="S409" s="5" t="str">
        <f t="shared" si="74"/>
        <v/>
      </c>
      <c r="T409" s="11"/>
      <c r="U409" s="8" t="str">
        <f>IF(OR(VedAarnaSKUMaster[[#This Row],[Selling Price]]="",VedAarnaSKUMaster[[#This Row],[Selling Price]]=0),"",CEILING(VedAarnaSKUMaster[[#This Row],[Selling Price]]/(1-20%),100)-1)</f>
        <v/>
      </c>
      <c r="V409">
        <f t="shared" si="84"/>
        <v>0</v>
      </c>
      <c r="W409" s="8"/>
      <c r="Z409" s="6" t="str">
        <f t="shared" si="75"/>
        <v/>
      </c>
      <c r="AA409" s="6" t="str">
        <f t="shared" si="76"/>
        <v/>
      </c>
      <c r="AB409" s="6" t="str">
        <f t="shared" si="77"/>
        <v/>
      </c>
      <c r="AC409" s="6" t="str">
        <f t="shared" si="78"/>
        <v/>
      </c>
      <c r="AD409" s="6" t="str">
        <f t="shared" si="79"/>
        <v/>
      </c>
      <c r="AE409" s="6" t="str">
        <f t="shared" si="80"/>
        <v/>
      </c>
      <c r="AF409" s="6" t="str">
        <f t="shared" si="81"/>
        <v/>
      </c>
      <c r="AG409" s="6" t="str">
        <f t="shared" si="82"/>
        <v/>
      </c>
      <c r="AH409" s="6" t="str">
        <f t="shared" si="83"/>
        <v/>
      </c>
    </row>
    <row r="410" spans="1:34">
      <c r="A410" s="9"/>
      <c r="C410" s="4" t="str">
        <f>IFERROR(VLOOKUP(B410,'Code Lists'!$A:$B,2,FALSE),"")</f>
        <v/>
      </c>
      <c r="F410" s="4" t="str">
        <f>IFERROR(VLOOKUP(E410,'Code Lists'!$D:$E,2,FALSE),"")</f>
        <v/>
      </c>
      <c r="H410" s="4" t="str">
        <f>IFERROR(VLOOKUP(G410,'Code Lists'!$G:$H,2,FALSE),"")</f>
        <v/>
      </c>
      <c r="J410" s="10"/>
      <c r="M410" s="11"/>
      <c r="Q410" s="7" t="str">
        <f>IF(VedAarnaSKUMaster[[#This Row],[HSN/SAC Code]]=998822,5%,IF(VedAarnaSKUMaster[[#This Row],[HSN/SAC Code]]=998391,18%,IF(VedAarnaSKUMaster[[#This Row],[HSN/SAC Code]]=998723,5%,"")))</f>
        <v/>
      </c>
      <c r="R410" s="5" t="str">
        <f t="shared" si="73"/>
        <v/>
      </c>
      <c r="S410" s="5" t="str">
        <f t="shared" si="74"/>
        <v/>
      </c>
      <c r="T410" s="11"/>
      <c r="U410" s="8" t="str">
        <f>IF(OR(VedAarnaSKUMaster[[#This Row],[Selling Price]]="",VedAarnaSKUMaster[[#This Row],[Selling Price]]=0),"",CEILING(VedAarnaSKUMaster[[#This Row],[Selling Price]]/(1-20%),100)-1)</f>
        <v/>
      </c>
      <c r="V410">
        <f t="shared" si="84"/>
        <v>0</v>
      </c>
      <c r="W410" s="8"/>
      <c r="Z410" s="6" t="str">
        <f t="shared" si="75"/>
        <v/>
      </c>
      <c r="AA410" s="6" t="str">
        <f t="shared" si="76"/>
        <v/>
      </c>
      <c r="AB410" s="6" t="str">
        <f t="shared" si="77"/>
        <v/>
      </c>
      <c r="AC410" s="6" t="str">
        <f t="shared" si="78"/>
        <v/>
      </c>
      <c r="AD410" s="6" t="str">
        <f t="shared" si="79"/>
        <v/>
      </c>
      <c r="AE410" s="6" t="str">
        <f t="shared" si="80"/>
        <v/>
      </c>
      <c r="AF410" s="6" t="str">
        <f t="shared" si="81"/>
        <v/>
      </c>
      <c r="AG410" s="6" t="str">
        <f t="shared" si="82"/>
        <v/>
      </c>
      <c r="AH410" s="6" t="str">
        <f t="shared" si="83"/>
        <v/>
      </c>
    </row>
    <row r="411" spans="1:34">
      <c r="A411" s="9"/>
      <c r="C411" s="4" t="str">
        <f>IFERROR(VLOOKUP(B411,'Code Lists'!$A:$B,2,FALSE),"")</f>
        <v/>
      </c>
      <c r="F411" s="4" t="str">
        <f>IFERROR(VLOOKUP(E411,'Code Lists'!$D:$E,2,FALSE),"")</f>
        <v/>
      </c>
      <c r="H411" s="4" t="str">
        <f>IFERROR(VLOOKUP(G411,'Code Lists'!$G:$H,2,FALSE),"")</f>
        <v/>
      </c>
      <c r="J411" s="10"/>
      <c r="M411" s="11"/>
      <c r="Q411" s="7" t="str">
        <f>IF(VedAarnaSKUMaster[[#This Row],[HSN/SAC Code]]=998822,5%,IF(VedAarnaSKUMaster[[#This Row],[HSN/SAC Code]]=998391,18%,IF(VedAarnaSKUMaster[[#This Row],[HSN/SAC Code]]=998723,5%,"")))</f>
        <v/>
      </c>
      <c r="R411" s="5" t="str">
        <f t="shared" si="73"/>
        <v/>
      </c>
      <c r="S411" s="5" t="str">
        <f t="shared" si="74"/>
        <v/>
      </c>
      <c r="T411" s="11"/>
      <c r="U411" s="8" t="str">
        <f>IF(OR(VedAarnaSKUMaster[[#This Row],[Selling Price]]="",VedAarnaSKUMaster[[#This Row],[Selling Price]]=0),"",CEILING(VedAarnaSKUMaster[[#This Row],[Selling Price]]/(1-20%),100)-1)</f>
        <v/>
      </c>
      <c r="V411">
        <f t="shared" si="84"/>
        <v>0</v>
      </c>
      <c r="W411" s="8"/>
      <c r="Z411" s="6" t="str">
        <f t="shared" si="75"/>
        <v/>
      </c>
      <c r="AA411" s="6" t="str">
        <f t="shared" si="76"/>
        <v/>
      </c>
      <c r="AB411" s="6" t="str">
        <f t="shared" si="77"/>
        <v/>
      </c>
      <c r="AC411" s="6" t="str">
        <f t="shared" si="78"/>
        <v/>
      </c>
      <c r="AD411" s="6" t="str">
        <f t="shared" si="79"/>
        <v/>
      </c>
      <c r="AE411" s="6" t="str">
        <f t="shared" si="80"/>
        <v/>
      </c>
      <c r="AF411" s="6" t="str">
        <f t="shared" si="81"/>
        <v/>
      </c>
      <c r="AG411" s="6" t="str">
        <f t="shared" si="82"/>
        <v/>
      </c>
      <c r="AH411" s="6" t="str">
        <f t="shared" si="83"/>
        <v/>
      </c>
    </row>
    <row r="412" spans="1:34">
      <c r="A412" s="9"/>
      <c r="C412" s="4" t="str">
        <f>IFERROR(VLOOKUP(B412,'Code Lists'!$A:$B,2,FALSE),"")</f>
        <v/>
      </c>
      <c r="F412" s="4" t="str">
        <f>IFERROR(VLOOKUP(E412,'Code Lists'!$D:$E,2,FALSE),"")</f>
        <v/>
      </c>
      <c r="H412" s="4" t="str">
        <f>IFERROR(VLOOKUP(G412,'Code Lists'!$G:$H,2,FALSE),"")</f>
        <v/>
      </c>
      <c r="J412" s="10"/>
      <c r="M412" s="11"/>
      <c r="Q412" s="7" t="str">
        <f>IF(VedAarnaSKUMaster[[#This Row],[HSN/SAC Code]]=998822,5%,IF(VedAarnaSKUMaster[[#This Row],[HSN/SAC Code]]=998391,18%,IF(VedAarnaSKUMaster[[#This Row],[HSN/SAC Code]]=998723,5%,"")))</f>
        <v/>
      </c>
      <c r="R412" s="5" t="str">
        <f t="shared" si="73"/>
        <v/>
      </c>
      <c r="S412" s="5" t="str">
        <f t="shared" si="74"/>
        <v/>
      </c>
      <c r="T412" s="11"/>
      <c r="U412" s="8" t="str">
        <f>IF(OR(VedAarnaSKUMaster[[#This Row],[Selling Price]]="",VedAarnaSKUMaster[[#This Row],[Selling Price]]=0),"",CEILING(VedAarnaSKUMaster[[#This Row],[Selling Price]]/(1-20%),100)-1)</f>
        <v/>
      </c>
      <c r="V412">
        <f t="shared" si="84"/>
        <v>0</v>
      </c>
      <c r="W412" s="8"/>
      <c r="Z412" s="6" t="str">
        <f t="shared" si="75"/>
        <v/>
      </c>
      <c r="AA412" s="6" t="str">
        <f t="shared" si="76"/>
        <v/>
      </c>
      <c r="AB412" s="6" t="str">
        <f t="shared" si="77"/>
        <v/>
      </c>
      <c r="AC412" s="6" t="str">
        <f t="shared" si="78"/>
        <v/>
      </c>
      <c r="AD412" s="6" t="str">
        <f t="shared" si="79"/>
        <v/>
      </c>
      <c r="AE412" s="6" t="str">
        <f t="shared" si="80"/>
        <v/>
      </c>
      <c r="AF412" s="6" t="str">
        <f t="shared" si="81"/>
        <v/>
      </c>
      <c r="AG412" s="6" t="str">
        <f t="shared" si="82"/>
        <v/>
      </c>
      <c r="AH412" s="6" t="str">
        <f t="shared" si="83"/>
        <v/>
      </c>
    </row>
    <row r="413" spans="1:34">
      <c r="A413" s="9"/>
      <c r="C413" s="4" t="str">
        <f>IFERROR(VLOOKUP(B413,'Code Lists'!$A:$B,2,FALSE),"")</f>
        <v/>
      </c>
      <c r="F413" s="4" t="str">
        <f>IFERROR(VLOOKUP(E413,'Code Lists'!$D:$E,2,FALSE),"")</f>
        <v/>
      </c>
      <c r="H413" s="4" t="str">
        <f>IFERROR(VLOOKUP(G413,'Code Lists'!$G:$H,2,FALSE),"")</f>
        <v/>
      </c>
      <c r="J413" s="10"/>
      <c r="M413" s="11"/>
      <c r="Q413" s="7" t="str">
        <f>IF(VedAarnaSKUMaster[[#This Row],[HSN/SAC Code]]=998822,5%,IF(VedAarnaSKUMaster[[#This Row],[HSN/SAC Code]]=998391,18%,IF(VedAarnaSKUMaster[[#This Row],[HSN/SAC Code]]=998723,5%,"")))</f>
        <v/>
      </c>
      <c r="R413" s="5" t="str">
        <f t="shared" si="73"/>
        <v/>
      </c>
      <c r="S413" s="5" t="str">
        <f t="shared" si="74"/>
        <v/>
      </c>
      <c r="T413" s="11"/>
      <c r="U413" s="8" t="str">
        <f>IF(OR(VedAarnaSKUMaster[[#This Row],[Selling Price]]="",VedAarnaSKUMaster[[#This Row],[Selling Price]]=0),"",CEILING(VedAarnaSKUMaster[[#This Row],[Selling Price]]/(1-20%),100)-1)</f>
        <v/>
      </c>
      <c r="V413">
        <f t="shared" si="84"/>
        <v>0</v>
      </c>
      <c r="W413" s="8"/>
      <c r="Z413" s="6" t="str">
        <f t="shared" si="75"/>
        <v/>
      </c>
      <c r="AA413" s="6" t="str">
        <f t="shared" si="76"/>
        <v/>
      </c>
      <c r="AB413" s="6" t="str">
        <f t="shared" si="77"/>
        <v/>
      </c>
      <c r="AC413" s="6" t="str">
        <f t="shared" si="78"/>
        <v/>
      </c>
      <c r="AD413" s="6" t="str">
        <f t="shared" si="79"/>
        <v/>
      </c>
      <c r="AE413" s="6" t="str">
        <f t="shared" si="80"/>
        <v/>
      </c>
      <c r="AF413" s="6" t="str">
        <f t="shared" si="81"/>
        <v/>
      </c>
      <c r="AG413" s="6" t="str">
        <f t="shared" si="82"/>
        <v/>
      </c>
      <c r="AH413" s="6" t="str">
        <f t="shared" si="83"/>
        <v/>
      </c>
    </row>
    <row r="414" spans="1:34">
      <c r="A414" s="9"/>
      <c r="C414" s="4" t="str">
        <f>IFERROR(VLOOKUP(B414,'Code Lists'!$A:$B,2,FALSE),"")</f>
        <v/>
      </c>
      <c r="F414" s="4" t="str">
        <f>IFERROR(VLOOKUP(E414,'Code Lists'!$D:$E,2,FALSE),"")</f>
        <v/>
      </c>
      <c r="H414" s="4" t="str">
        <f>IFERROR(VLOOKUP(G414,'Code Lists'!$G:$H,2,FALSE),"")</f>
        <v/>
      </c>
      <c r="J414" s="10"/>
      <c r="M414" s="11"/>
      <c r="Q414" s="7" t="str">
        <f>IF(VedAarnaSKUMaster[[#This Row],[HSN/SAC Code]]=998822,5%,IF(VedAarnaSKUMaster[[#This Row],[HSN/SAC Code]]=998391,18%,IF(VedAarnaSKUMaster[[#This Row],[HSN/SAC Code]]=998723,5%,"")))</f>
        <v/>
      </c>
      <c r="R414" s="5" t="str">
        <f t="shared" si="73"/>
        <v/>
      </c>
      <c r="S414" s="5" t="str">
        <f t="shared" si="74"/>
        <v/>
      </c>
      <c r="T414" s="11"/>
      <c r="U414" s="8" t="str">
        <f>IF(OR(VedAarnaSKUMaster[[#This Row],[Selling Price]]="",VedAarnaSKUMaster[[#This Row],[Selling Price]]=0),"",CEILING(VedAarnaSKUMaster[[#This Row],[Selling Price]]/(1-20%),100)-1)</f>
        <v/>
      </c>
      <c r="V414">
        <f t="shared" si="84"/>
        <v>0</v>
      </c>
      <c r="W414" s="8"/>
      <c r="Z414" s="6" t="str">
        <f t="shared" si="75"/>
        <v/>
      </c>
      <c r="AA414" s="6" t="str">
        <f t="shared" si="76"/>
        <v/>
      </c>
      <c r="AB414" s="6" t="str">
        <f t="shared" si="77"/>
        <v/>
      </c>
      <c r="AC414" s="6" t="str">
        <f t="shared" si="78"/>
        <v/>
      </c>
      <c r="AD414" s="6" t="str">
        <f t="shared" si="79"/>
        <v/>
      </c>
      <c r="AE414" s="6" t="str">
        <f t="shared" si="80"/>
        <v/>
      </c>
      <c r="AF414" s="6" t="str">
        <f t="shared" si="81"/>
        <v/>
      </c>
      <c r="AG414" s="6" t="str">
        <f t="shared" si="82"/>
        <v/>
      </c>
      <c r="AH414" s="6" t="str">
        <f t="shared" si="83"/>
        <v/>
      </c>
    </row>
    <row r="415" spans="1:34">
      <c r="A415" s="9"/>
      <c r="C415" s="4" t="str">
        <f>IFERROR(VLOOKUP(B415,'Code Lists'!$A:$B,2,FALSE),"")</f>
        <v/>
      </c>
      <c r="F415" s="4" t="str">
        <f>IFERROR(VLOOKUP(E415,'Code Lists'!$D:$E,2,FALSE),"")</f>
        <v/>
      </c>
      <c r="H415" s="4" t="str">
        <f>IFERROR(VLOOKUP(G415,'Code Lists'!$G:$H,2,FALSE),"")</f>
        <v/>
      </c>
      <c r="J415" s="10"/>
      <c r="M415" s="11"/>
      <c r="Q415" s="7" t="str">
        <f>IF(VedAarnaSKUMaster[[#This Row],[HSN/SAC Code]]=998822,5%,IF(VedAarnaSKUMaster[[#This Row],[HSN/SAC Code]]=998391,18%,IF(VedAarnaSKUMaster[[#This Row],[HSN/SAC Code]]=998723,5%,"")))</f>
        <v/>
      </c>
      <c r="R415" s="5" t="str">
        <f t="shared" si="73"/>
        <v/>
      </c>
      <c r="S415" s="5" t="str">
        <f t="shared" si="74"/>
        <v/>
      </c>
      <c r="T415" s="11"/>
      <c r="U415" s="8" t="str">
        <f>IF(OR(VedAarnaSKUMaster[[#This Row],[Selling Price]]="",VedAarnaSKUMaster[[#This Row],[Selling Price]]=0),"",CEILING(VedAarnaSKUMaster[[#This Row],[Selling Price]]/(1-20%),100)-1)</f>
        <v/>
      </c>
      <c r="V415">
        <f t="shared" si="84"/>
        <v>0</v>
      </c>
      <c r="W415" s="8"/>
      <c r="Z415" s="6" t="str">
        <f t="shared" si="75"/>
        <v/>
      </c>
      <c r="AA415" s="6" t="str">
        <f t="shared" si="76"/>
        <v/>
      </c>
      <c r="AB415" s="6" t="str">
        <f t="shared" si="77"/>
        <v/>
      </c>
      <c r="AC415" s="6" t="str">
        <f t="shared" si="78"/>
        <v/>
      </c>
      <c r="AD415" s="6" t="str">
        <f t="shared" si="79"/>
        <v/>
      </c>
      <c r="AE415" s="6" t="str">
        <f t="shared" si="80"/>
        <v/>
      </c>
      <c r="AF415" s="6" t="str">
        <f t="shared" si="81"/>
        <v/>
      </c>
      <c r="AG415" s="6" t="str">
        <f t="shared" si="82"/>
        <v/>
      </c>
      <c r="AH415" s="6" t="str">
        <f t="shared" si="83"/>
        <v/>
      </c>
    </row>
    <row r="416" spans="1:34">
      <c r="A416" s="9"/>
      <c r="C416" s="4" t="str">
        <f>IFERROR(VLOOKUP(B416,'Code Lists'!$A:$B,2,FALSE),"")</f>
        <v/>
      </c>
      <c r="F416" s="4" t="str">
        <f>IFERROR(VLOOKUP(E416,'Code Lists'!$D:$E,2,FALSE),"")</f>
        <v/>
      </c>
      <c r="H416" s="4" t="str">
        <f>IFERROR(VLOOKUP(G416,'Code Lists'!$G:$H,2,FALSE),"")</f>
        <v/>
      </c>
      <c r="J416" s="10"/>
      <c r="M416" s="11"/>
      <c r="Q416" s="7" t="str">
        <f>IF(VedAarnaSKUMaster[[#This Row],[HSN/SAC Code]]=998822,5%,IF(VedAarnaSKUMaster[[#This Row],[HSN/SAC Code]]=998391,18%,IF(VedAarnaSKUMaster[[#This Row],[HSN/SAC Code]]=998723,5%,"")))</f>
        <v/>
      </c>
      <c r="R416" s="5" t="str">
        <f t="shared" si="73"/>
        <v/>
      </c>
      <c r="S416" s="5" t="str">
        <f t="shared" si="74"/>
        <v/>
      </c>
      <c r="T416" s="11"/>
      <c r="U416" s="8" t="str">
        <f>IF(OR(VedAarnaSKUMaster[[#This Row],[Selling Price]]="",VedAarnaSKUMaster[[#This Row],[Selling Price]]=0),"",CEILING(VedAarnaSKUMaster[[#This Row],[Selling Price]]/(1-20%),100)-1)</f>
        <v/>
      </c>
      <c r="V416">
        <f t="shared" si="84"/>
        <v>0</v>
      </c>
      <c r="W416" s="8"/>
      <c r="Z416" s="6" t="str">
        <f t="shared" si="75"/>
        <v/>
      </c>
      <c r="AA416" s="6" t="str">
        <f t="shared" si="76"/>
        <v/>
      </c>
      <c r="AB416" s="6" t="str">
        <f t="shared" si="77"/>
        <v/>
      </c>
      <c r="AC416" s="6" t="str">
        <f t="shared" si="78"/>
        <v/>
      </c>
      <c r="AD416" s="6" t="str">
        <f t="shared" si="79"/>
        <v/>
      </c>
      <c r="AE416" s="6" t="str">
        <f t="shared" si="80"/>
        <v/>
      </c>
      <c r="AF416" s="6" t="str">
        <f t="shared" si="81"/>
        <v/>
      </c>
      <c r="AG416" s="6" t="str">
        <f t="shared" si="82"/>
        <v/>
      </c>
      <c r="AH416" s="6" t="str">
        <f t="shared" si="83"/>
        <v/>
      </c>
    </row>
    <row r="417" spans="1:34">
      <c r="A417" s="9"/>
      <c r="C417" s="4" t="str">
        <f>IFERROR(VLOOKUP(B417,'Code Lists'!$A:$B,2,FALSE),"")</f>
        <v/>
      </c>
      <c r="F417" s="4" t="str">
        <f>IFERROR(VLOOKUP(E417,'Code Lists'!$D:$E,2,FALSE),"")</f>
        <v/>
      </c>
      <c r="H417" s="4" t="str">
        <f>IFERROR(VLOOKUP(G417,'Code Lists'!$G:$H,2,FALSE),"")</f>
        <v/>
      </c>
      <c r="J417" s="10"/>
      <c r="M417" s="11"/>
      <c r="Q417" s="7" t="str">
        <f>IF(VedAarnaSKUMaster[[#This Row],[HSN/SAC Code]]=998822,5%,IF(VedAarnaSKUMaster[[#This Row],[HSN/SAC Code]]=998391,18%,IF(VedAarnaSKUMaster[[#This Row],[HSN/SAC Code]]=998723,5%,"")))</f>
        <v/>
      </c>
      <c r="R417" s="5" t="str">
        <f t="shared" si="73"/>
        <v/>
      </c>
      <c r="S417" s="5" t="str">
        <f t="shared" si="74"/>
        <v/>
      </c>
      <c r="T417" s="11"/>
      <c r="U417" s="8" t="str">
        <f>IF(OR(VedAarnaSKUMaster[[#This Row],[Selling Price]]="",VedAarnaSKUMaster[[#This Row],[Selling Price]]=0),"",CEILING(VedAarnaSKUMaster[[#This Row],[Selling Price]]/(1-20%),100)-1)</f>
        <v/>
      </c>
      <c r="V417">
        <f t="shared" si="84"/>
        <v>0</v>
      </c>
      <c r="W417" s="8"/>
      <c r="Z417" s="6" t="str">
        <f t="shared" si="75"/>
        <v/>
      </c>
      <c r="AA417" s="6" t="str">
        <f t="shared" si="76"/>
        <v/>
      </c>
      <c r="AB417" s="6" t="str">
        <f t="shared" si="77"/>
        <v/>
      </c>
      <c r="AC417" s="6" t="str">
        <f t="shared" si="78"/>
        <v/>
      </c>
      <c r="AD417" s="6" t="str">
        <f t="shared" si="79"/>
        <v/>
      </c>
      <c r="AE417" s="6" t="str">
        <f t="shared" si="80"/>
        <v/>
      </c>
      <c r="AF417" s="6" t="str">
        <f t="shared" si="81"/>
        <v/>
      </c>
      <c r="AG417" s="6" t="str">
        <f t="shared" si="82"/>
        <v/>
      </c>
      <c r="AH417" s="6" t="str">
        <f t="shared" si="83"/>
        <v/>
      </c>
    </row>
    <row r="418" spans="1:34">
      <c r="A418" s="9"/>
      <c r="C418" s="4" t="str">
        <f>IFERROR(VLOOKUP(B418,'Code Lists'!$A:$B,2,FALSE),"")</f>
        <v/>
      </c>
      <c r="F418" s="4" t="str">
        <f>IFERROR(VLOOKUP(E418,'Code Lists'!$D:$E,2,FALSE),"")</f>
        <v/>
      </c>
      <c r="H418" s="4" t="str">
        <f>IFERROR(VLOOKUP(G418,'Code Lists'!$G:$H,2,FALSE),"")</f>
        <v/>
      </c>
      <c r="J418" s="10"/>
      <c r="M418" s="11"/>
      <c r="Q418" s="7" t="str">
        <f>IF(VedAarnaSKUMaster[[#This Row],[HSN/SAC Code]]=998822,5%,IF(VedAarnaSKUMaster[[#This Row],[HSN/SAC Code]]=998391,18%,IF(VedAarnaSKUMaster[[#This Row],[HSN/SAC Code]]=998723,5%,"")))</f>
        <v/>
      </c>
      <c r="R418" s="5" t="str">
        <f t="shared" si="73"/>
        <v/>
      </c>
      <c r="S418" s="5" t="str">
        <f t="shared" si="74"/>
        <v/>
      </c>
      <c r="T418" s="11"/>
      <c r="U418" s="8" t="str">
        <f>IF(OR(VedAarnaSKUMaster[[#This Row],[Selling Price]]="",VedAarnaSKUMaster[[#This Row],[Selling Price]]=0),"",CEILING(VedAarnaSKUMaster[[#This Row],[Selling Price]]/(1-20%),100)-1)</f>
        <v/>
      </c>
      <c r="V418">
        <f t="shared" si="84"/>
        <v>0</v>
      </c>
      <c r="W418" s="8"/>
      <c r="Z418" s="6" t="str">
        <f t="shared" si="75"/>
        <v/>
      </c>
      <c r="AA418" s="6" t="str">
        <f t="shared" si="76"/>
        <v/>
      </c>
      <c r="AB418" s="6" t="str">
        <f t="shared" si="77"/>
        <v/>
      </c>
      <c r="AC418" s="6" t="str">
        <f t="shared" si="78"/>
        <v/>
      </c>
      <c r="AD418" s="6" t="str">
        <f t="shared" si="79"/>
        <v/>
      </c>
      <c r="AE418" s="6" t="str">
        <f t="shared" si="80"/>
        <v/>
      </c>
      <c r="AF418" s="6" t="str">
        <f t="shared" si="81"/>
        <v/>
      </c>
      <c r="AG418" s="6" t="str">
        <f t="shared" si="82"/>
        <v/>
      </c>
      <c r="AH418" s="6" t="str">
        <f t="shared" si="83"/>
        <v/>
      </c>
    </row>
    <row r="419" spans="1:34">
      <c r="A419" s="9"/>
      <c r="C419" s="4" t="str">
        <f>IFERROR(VLOOKUP(B419,'Code Lists'!$A:$B,2,FALSE),"")</f>
        <v/>
      </c>
      <c r="F419" s="4" t="str">
        <f>IFERROR(VLOOKUP(E419,'Code Lists'!$D:$E,2,FALSE),"")</f>
        <v/>
      </c>
      <c r="H419" s="4" t="str">
        <f>IFERROR(VLOOKUP(G419,'Code Lists'!$G:$H,2,FALSE),"")</f>
        <v/>
      </c>
      <c r="J419" s="10"/>
      <c r="M419" s="11"/>
      <c r="Q419" s="7" t="str">
        <f>IF(VedAarnaSKUMaster[[#This Row],[HSN/SAC Code]]=998822,5%,IF(VedAarnaSKUMaster[[#This Row],[HSN/SAC Code]]=998391,18%,IF(VedAarnaSKUMaster[[#This Row],[HSN/SAC Code]]=998723,5%,"")))</f>
        <v/>
      </c>
      <c r="R419" s="5" t="str">
        <f t="shared" si="73"/>
        <v/>
      </c>
      <c r="S419" s="5" t="str">
        <f t="shared" si="74"/>
        <v/>
      </c>
      <c r="T419" s="11"/>
      <c r="U419" s="8" t="str">
        <f>IF(OR(VedAarnaSKUMaster[[#This Row],[Selling Price]]="",VedAarnaSKUMaster[[#This Row],[Selling Price]]=0),"",CEILING(VedAarnaSKUMaster[[#This Row],[Selling Price]]/(1-20%),100)-1)</f>
        <v/>
      </c>
      <c r="V419">
        <f t="shared" si="84"/>
        <v>0</v>
      </c>
      <c r="W419" s="8"/>
      <c r="Z419" s="6" t="str">
        <f t="shared" si="75"/>
        <v/>
      </c>
      <c r="AA419" s="6" t="str">
        <f t="shared" si="76"/>
        <v/>
      </c>
      <c r="AB419" s="6" t="str">
        <f t="shared" si="77"/>
        <v/>
      </c>
      <c r="AC419" s="6" t="str">
        <f t="shared" si="78"/>
        <v/>
      </c>
      <c r="AD419" s="6" t="str">
        <f t="shared" si="79"/>
        <v/>
      </c>
      <c r="AE419" s="6" t="str">
        <f t="shared" si="80"/>
        <v/>
      </c>
      <c r="AF419" s="6" t="str">
        <f t="shared" si="81"/>
        <v/>
      </c>
      <c r="AG419" s="6" t="str">
        <f t="shared" si="82"/>
        <v/>
      </c>
      <c r="AH419" s="6" t="str">
        <f t="shared" si="83"/>
        <v/>
      </c>
    </row>
    <row r="420" spans="1:34">
      <c r="A420" s="9"/>
      <c r="C420" s="4" t="str">
        <f>IFERROR(VLOOKUP(B420,'Code Lists'!$A:$B,2,FALSE),"")</f>
        <v/>
      </c>
      <c r="F420" s="4" t="str">
        <f>IFERROR(VLOOKUP(E420,'Code Lists'!$D:$E,2,FALSE),"")</f>
        <v/>
      </c>
      <c r="H420" s="4" t="str">
        <f>IFERROR(VLOOKUP(G420,'Code Lists'!$G:$H,2,FALSE),"")</f>
        <v/>
      </c>
      <c r="J420" s="10"/>
      <c r="M420" s="11"/>
      <c r="Q420" s="7" t="str">
        <f>IF(VedAarnaSKUMaster[[#This Row],[HSN/SAC Code]]=998822,5%,IF(VedAarnaSKUMaster[[#This Row],[HSN/SAC Code]]=998391,18%,IF(VedAarnaSKUMaster[[#This Row],[HSN/SAC Code]]=998723,5%,"")))</f>
        <v/>
      </c>
      <c r="R420" s="5" t="str">
        <f t="shared" si="73"/>
        <v/>
      </c>
      <c r="S420" s="5" t="str">
        <f t="shared" si="74"/>
        <v/>
      </c>
      <c r="T420" s="11"/>
      <c r="U420" s="8" t="str">
        <f>IF(OR(VedAarnaSKUMaster[[#This Row],[Selling Price]]="",VedAarnaSKUMaster[[#This Row],[Selling Price]]=0),"",CEILING(VedAarnaSKUMaster[[#This Row],[Selling Price]]/(1-20%),100)-1)</f>
        <v/>
      </c>
      <c r="V420">
        <f t="shared" si="84"/>
        <v>0</v>
      </c>
      <c r="W420" s="8"/>
      <c r="Z420" s="6" t="str">
        <f t="shared" si="75"/>
        <v/>
      </c>
      <c r="AA420" s="6" t="str">
        <f t="shared" si="76"/>
        <v/>
      </c>
      <c r="AB420" s="6" t="str">
        <f t="shared" si="77"/>
        <v/>
      </c>
      <c r="AC420" s="6" t="str">
        <f t="shared" si="78"/>
        <v/>
      </c>
      <c r="AD420" s="6" t="str">
        <f t="shared" si="79"/>
        <v/>
      </c>
      <c r="AE420" s="6" t="str">
        <f t="shared" si="80"/>
        <v/>
      </c>
      <c r="AF420" s="6" t="str">
        <f t="shared" si="81"/>
        <v/>
      </c>
      <c r="AG420" s="6" t="str">
        <f t="shared" si="82"/>
        <v/>
      </c>
      <c r="AH420" s="6" t="str">
        <f t="shared" si="83"/>
        <v/>
      </c>
    </row>
    <row r="421" spans="1:34">
      <c r="A421" s="9"/>
      <c r="C421" s="4" t="str">
        <f>IFERROR(VLOOKUP(B421,'Code Lists'!$A:$B,2,FALSE),"")</f>
        <v/>
      </c>
      <c r="F421" s="4" t="str">
        <f>IFERROR(VLOOKUP(E421,'Code Lists'!$D:$E,2,FALSE),"")</f>
        <v/>
      </c>
      <c r="H421" s="4" t="str">
        <f>IFERROR(VLOOKUP(G421,'Code Lists'!$G:$H,2,FALSE),"")</f>
        <v/>
      </c>
      <c r="J421" s="10"/>
      <c r="M421" s="11"/>
      <c r="Q421" s="7" t="str">
        <f>IF(VedAarnaSKUMaster[[#This Row],[HSN/SAC Code]]=998822,5%,IF(VedAarnaSKUMaster[[#This Row],[HSN/SAC Code]]=998391,18%,IF(VedAarnaSKUMaster[[#This Row],[HSN/SAC Code]]=998723,5%,"")))</f>
        <v/>
      </c>
      <c r="R421" s="5" t="str">
        <f t="shared" si="73"/>
        <v/>
      </c>
      <c r="S421" s="5" t="str">
        <f t="shared" si="74"/>
        <v/>
      </c>
      <c r="T421" s="11"/>
      <c r="U421" s="8" t="str">
        <f>IF(OR(VedAarnaSKUMaster[[#This Row],[Selling Price]]="",VedAarnaSKUMaster[[#This Row],[Selling Price]]=0),"",CEILING(VedAarnaSKUMaster[[#This Row],[Selling Price]]/(1-20%),100)-1)</f>
        <v/>
      </c>
      <c r="V421">
        <f t="shared" si="84"/>
        <v>0</v>
      </c>
      <c r="W421" s="8"/>
      <c r="Z421" s="6" t="str">
        <f t="shared" si="75"/>
        <v/>
      </c>
      <c r="AA421" s="6" t="str">
        <f t="shared" si="76"/>
        <v/>
      </c>
      <c r="AB421" s="6" t="str">
        <f t="shared" si="77"/>
        <v/>
      </c>
      <c r="AC421" s="6" t="str">
        <f t="shared" si="78"/>
        <v/>
      </c>
      <c r="AD421" s="6" t="str">
        <f t="shared" si="79"/>
        <v/>
      </c>
      <c r="AE421" s="6" t="str">
        <f t="shared" si="80"/>
        <v/>
      </c>
      <c r="AF421" s="6" t="str">
        <f t="shared" si="81"/>
        <v/>
      </c>
      <c r="AG421" s="6" t="str">
        <f t="shared" si="82"/>
        <v/>
      </c>
      <c r="AH421" s="6" t="str">
        <f t="shared" si="83"/>
        <v/>
      </c>
    </row>
    <row r="422" spans="1:34">
      <c r="A422" s="9"/>
      <c r="C422" s="4" t="str">
        <f>IFERROR(VLOOKUP(B422,'Code Lists'!$A:$B,2,FALSE),"")</f>
        <v/>
      </c>
      <c r="F422" s="4" t="str">
        <f>IFERROR(VLOOKUP(E422,'Code Lists'!$D:$E,2,FALSE),"")</f>
        <v/>
      </c>
      <c r="H422" s="4" t="str">
        <f>IFERROR(VLOOKUP(G422,'Code Lists'!$G:$H,2,FALSE),"")</f>
        <v/>
      </c>
      <c r="J422" s="10"/>
      <c r="M422" s="11"/>
      <c r="Q422" s="7" t="str">
        <f>IF(VedAarnaSKUMaster[[#This Row],[HSN/SAC Code]]=998822,5%,IF(VedAarnaSKUMaster[[#This Row],[HSN/SAC Code]]=998391,18%,IF(VedAarnaSKUMaster[[#This Row],[HSN/SAC Code]]=998723,5%,"")))</f>
        <v/>
      </c>
      <c r="R422" s="5" t="str">
        <f t="shared" si="73"/>
        <v/>
      </c>
      <c r="S422" s="5" t="str">
        <f t="shared" si="74"/>
        <v/>
      </c>
      <c r="T422" s="11"/>
      <c r="U422" s="8" t="str">
        <f>IF(OR(VedAarnaSKUMaster[[#This Row],[Selling Price]]="",VedAarnaSKUMaster[[#This Row],[Selling Price]]=0),"",CEILING(VedAarnaSKUMaster[[#This Row],[Selling Price]]/(1-20%),100)-1)</f>
        <v/>
      </c>
      <c r="V422">
        <f t="shared" si="84"/>
        <v>0</v>
      </c>
      <c r="W422" s="8"/>
      <c r="Z422" s="6" t="str">
        <f t="shared" si="75"/>
        <v/>
      </c>
      <c r="AA422" s="6" t="str">
        <f t="shared" si="76"/>
        <v/>
      </c>
      <c r="AB422" s="6" t="str">
        <f t="shared" si="77"/>
        <v/>
      </c>
      <c r="AC422" s="6" t="str">
        <f t="shared" si="78"/>
        <v/>
      </c>
      <c r="AD422" s="6" t="str">
        <f t="shared" si="79"/>
        <v/>
      </c>
      <c r="AE422" s="6" t="str">
        <f t="shared" si="80"/>
        <v/>
      </c>
      <c r="AF422" s="6" t="str">
        <f t="shared" si="81"/>
        <v/>
      </c>
      <c r="AG422" s="6" t="str">
        <f t="shared" si="82"/>
        <v/>
      </c>
      <c r="AH422" s="6" t="str">
        <f t="shared" si="83"/>
        <v/>
      </c>
    </row>
    <row r="423" spans="1:34">
      <c r="A423" s="9"/>
      <c r="C423" s="4" t="str">
        <f>IFERROR(VLOOKUP(B423,'Code Lists'!$A:$B,2,FALSE),"")</f>
        <v/>
      </c>
      <c r="F423" s="4" t="str">
        <f>IFERROR(VLOOKUP(E423,'Code Lists'!$D:$E,2,FALSE),"")</f>
        <v/>
      </c>
      <c r="H423" s="4" t="str">
        <f>IFERROR(VLOOKUP(G423,'Code Lists'!$G:$H,2,FALSE),"")</f>
        <v/>
      </c>
      <c r="J423" s="10"/>
      <c r="M423" s="11"/>
      <c r="Q423" s="7" t="str">
        <f>IF(VedAarnaSKUMaster[[#This Row],[HSN/SAC Code]]=998822,5%,IF(VedAarnaSKUMaster[[#This Row],[HSN/SAC Code]]=998391,18%,IF(VedAarnaSKUMaster[[#This Row],[HSN/SAC Code]]=998723,5%,"")))</f>
        <v/>
      </c>
      <c r="R423" s="5" t="str">
        <f t="shared" si="73"/>
        <v/>
      </c>
      <c r="S423" s="5" t="str">
        <f t="shared" si="74"/>
        <v/>
      </c>
      <c r="T423" s="11"/>
      <c r="U423" s="8" t="str">
        <f>IF(OR(VedAarnaSKUMaster[[#This Row],[Selling Price]]="",VedAarnaSKUMaster[[#This Row],[Selling Price]]=0),"",CEILING(VedAarnaSKUMaster[[#This Row],[Selling Price]]/(1-20%),100)-1)</f>
        <v/>
      </c>
      <c r="V423">
        <f t="shared" si="84"/>
        <v>0</v>
      </c>
      <c r="W423" s="8"/>
      <c r="Z423" s="6" t="str">
        <f t="shared" si="75"/>
        <v/>
      </c>
      <c r="AA423" s="6" t="str">
        <f t="shared" si="76"/>
        <v/>
      </c>
      <c r="AB423" s="6" t="str">
        <f t="shared" si="77"/>
        <v/>
      </c>
      <c r="AC423" s="6" t="str">
        <f t="shared" si="78"/>
        <v/>
      </c>
      <c r="AD423" s="6" t="str">
        <f t="shared" si="79"/>
        <v/>
      </c>
      <c r="AE423" s="6" t="str">
        <f t="shared" si="80"/>
        <v/>
      </c>
      <c r="AF423" s="6" t="str">
        <f t="shared" si="81"/>
        <v/>
      </c>
      <c r="AG423" s="6" t="str">
        <f t="shared" si="82"/>
        <v/>
      </c>
      <c r="AH423" s="6" t="str">
        <f t="shared" si="83"/>
        <v/>
      </c>
    </row>
    <row r="424" spans="1:34">
      <c r="A424" s="9"/>
      <c r="C424" s="4" t="str">
        <f>IFERROR(VLOOKUP(B424,'Code Lists'!$A:$B,2,FALSE),"")</f>
        <v/>
      </c>
      <c r="F424" s="4" t="str">
        <f>IFERROR(VLOOKUP(E424,'Code Lists'!$D:$E,2,FALSE),"")</f>
        <v/>
      </c>
      <c r="H424" s="4" t="str">
        <f>IFERROR(VLOOKUP(G424,'Code Lists'!$G:$H,2,FALSE),"")</f>
        <v/>
      </c>
      <c r="J424" s="10"/>
      <c r="M424" s="11"/>
      <c r="Q424" s="7" t="str">
        <f>IF(VedAarnaSKUMaster[[#This Row],[HSN/SAC Code]]=998822,5%,IF(VedAarnaSKUMaster[[#This Row],[HSN/SAC Code]]=998391,18%,IF(VedAarnaSKUMaster[[#This Row],[HSN/SAC Code]]=998723,5%,"")))</f>
        <v/>
      </c>
      <c r="R424" s="5" t="str">
        <f t="shared" si="73"/>
        <v/>
      </c>
      <c r="S424" s="5" t="str">
        <f t="shared" si="74"/>
        <v/>
      </c>
      <c r="T424" s="11"/>
      <c r="U424" s="8" t="str">
        <f>IF(OR(VedAarnaSKUMaster[[#This Row],[Selling Price]]="",VedAarnaSKUMaster[[#This Row],[Selling Price]]=0),"",CEILING(VedAarnaSKUMaster[[#This Row],[Selling Price]]/(1-20%),100)-1)</f>
        <v/>
      </c>
      <c r="V424">
        <f t="shared" si="84"/>
        <v>0</v>
      </c>
      <c r="W424" s="8"/>
      <c r="Z424" s="6" t="str">
        <f t="shared" si="75"/>
        <v/>
      </c>
      <c r="AA424" s="6" t="str">
        <f t="shared" si="76"/>
        <v/>
      </c>
      <c r="AB424" s="6" t="str">
        <f t="shared" si="77"/>
        <v/>
      </c>
      <c r="AC424" s="6" t="str">
        <f t="shared" si="78"/>
        <v/>
      </c>
      <c r="AD424" s="6" t="str">
        <f t="shared" si="79"/>
        <v/>
      </c>
      <c r="AE424" s="6" t="str">
        <f t="shared" si="80"/>
        <v/>
      </c>
      <c r="AF424" s="6" t="str">
        <f t="shared" si="81"/>
        <v/>
      </c>
      <c r="AG424" s="6" t="str">
        <f t="shared" si="82"/>
        <v/>
      </c>
      <c r="AH424" s="6" t="str">
        <f t="shared" si="83"/>
        <v/>
      </c>
    </row>
    <row r="425" spans="1:34">
      <c r="A425" s="9"/>
      <c r="C425" s="4" t="str">
        <f>IFERROR(VLOOKUP(B425,'Code Lists'!$A:$B,2,FALSE),"")</f>
        <v/>
      </c>
      <c r="F425" s="4" t="str">
        <f>IFERROR(VLOOKUP(E425,'Code Lists'!$D:$E,2,FALSE),"")</f>
        <v/>
      </c>
      <c r="H425" s="4" t="str">
        <f>IFERROR(VLOOKUP(G425,'Code Lists'!$G:$H,2,FALSE),"")</f>
        <v/>
      </c>
      <c r="J425" s="10"/>
      <c r="M425" s="11"/>
      <c r="Q425" s="7" t="str">
        <f>IF(VedAarnaSKUMaster[[#This Row],[HSN/SAC Code]]=998822,5%,IF(VedAarnaSKUMaster[[#This Row],[HSN/SAC Code]]=998391,18%,IF(VedAarnaSKUMaster[[#This Row],[HSN/SAC Code]]=998723,5%,"")))</f>
        <v/>
      </c>
      <c r="R425" s="5" t="str">
        <f t="shared" si="73"/>
        <v/>
      </c>
      <c r="S425" s="5" t="str">
        <f t="shared" si="74"/>
        <v/>
      </c>
      <c r="T425" s="11"/>
      <c r="U425" s="8" t="str">
        <f>IF(OR(VedAarnaSKUMaster[[#This Row],[Selling Price]]="",VedAarnaSKUMaster[[#This Row],[Selling Price]]=0),"",CEILING(VedAarnaSKUMaster[[#This Row],[Selling Price]]/(1-20%),100)-1)</f>
        <v/>
      </c>
      <c r="V425">
        <f t="shared" si="84"/>
        <v>0</v>
      </c>
      <c r="W425" s="8"/>
      <c r="Z425" s="6" t="str">
        <f t="shared" si="75"/>
        <v/>
      </c>
      <c r="AA425" s="6" t="str">
        <f t="shared" si="76"/>
        <v/>
      </c>
      <c r="AB425" s="6" t="str">
        <f t="shared" si="77"/>
        <v/>
      </c>
      <c r="AC425" s="6" t="str">
        <f t="shared" si="78"/>
        <v/>
      </c>
      <c r="AD425" s="6" t="str">
        <f t="shared" si="79"/>
        <v/>
      </c>
      <c r="AE425" s="6" t="str">
        <f t="shared" si="80"/>
        <v/>
      </c>
      <c r="AF425" s="6" t="str">
        <f t="shared" si="81"/>
        <v/>
      </c>
      <c r="AG425" s="6" t="str">
        <f t="shared" si="82"/>
        <v/>
      </c>
      <c r="AH425" s="6" t="str">
        <f t="shared" si="83"/>
        <v/>
      </c>
    </row>
    <row r="426" spans="1:34">
      <c r="A426" s="9"/>
      <c r="C426" s="4" t="str">
        <f>IFERROR(VLOOKUP(B426,'Code Lists'!$A:$B,2,FALSE),"")</f>
        <v/>
      </c>
      <c r="F426" s="4" t="str">
        <f>IFERROR(VLOOKUP(E426,'Code Lists'!$D:$E,2,FALSE),"")</f>
        <v/>
      </c>
      <c r="H426" s="4" t="str">
        <f>IFERROR(VLOOKUP(G426,'Code Lists'!$G:$H,2,FALSE),"")</f>
        <v/>
      </c>
      <c r="J426" s="10"/>
      <c r="M426" s="11"/>
      <c r="Q426" s="7" t="str">
        <f>IF(VedAarnaSKUMaster[[#This Row],[HSN/SAC Code]]=998822,5%,IF(VedAarnaSKUMaster[[#This Row],[HSN/SAC Code]]=998391,18%,IF(VedAarnaSKUMaster[[#This Row],[HSN/SAC Code]]=998723,5%,"")))</f>
        <v/>
      </c>
      <c r="R426" s="5" t="str">
        <f t="shared" si="73"/>
        <v/>
      </c>
      <c r="S426" s="5" t="str">
        <f t="shared" si="74"/>
        <v/>
      </c>
      <c r="T426" s="11"/>
      <c r="U426" s="8" t="str">
        <f>IF(OR(VedAarnaSKUMaster[[#This Row],[Selling Price]]="",VedAarnaSKUMaster[[#This Row],[Selling Price]]=0),"",CEILING(VedAarnaSKUMaster[[#This Row],[Selling Price]]/(1-20%),100)-1)</f>
        <v/>
      </c>
      <c r="V426">
        <f t="shared" si="84"/>
        <v>0</v>
      </c>
      <c r="W426" s="8"/>
      <c r="Z426" s="6" t="str">
        <f t="shared" si="75"/>
        <v/>
      </c>
      <c r="AA426" s="6" t="str">
        <f t="shared" si="76"/>
        <v/>
      </c>
      <c r="AB426" s="6" t="str">
        <f t="shared" si="77"/>
        <v/>
      </c>
      <c r="AC426" s="6" t="str">
        <f t="shared" si="78"/>
        <v/>
      </c>
      <c r="AD426" s="6" t="str">
        <f t="shared" si="79"/>
        <v/>
      </c>
      <c r="AE426" s="6" t="str">
        <f t="shared" si="80"/>
        <v/>
      </c>
      <c r="AF426" s="6" t="str">
        <f t="shared" si="81"/>
        <v/>
      </c>
      <c r="AG426" s="6" t="str">
        <f t="shared" si="82"/>
        <v/>
      </c>
      <c r="AH426" s="6" t="str">
        <f t="shared" si="83"/>
        <v/>
      </c>
    </row>
    <row r="427" spans="1:34">
      <c r="A427" s="9"/>
      <c r="C427" s="4" t="str">
        <f>IFERROR(VLOOKUP(B427,'Code Lists'!$A:$B,2,FALSE),"")</f>
        <v/>
      </c>
      <c r="F427" s="4" t="str">
        <f>IFERROR(VLOOKUP(E427,'Code Lists'!$D:$E,2,FALSE),"")</f>
        <v/>
      </c>
      <c r="H427" s="4" t="str">
        <f>IFERROR(VLOOKUP(G427,'Code Lists'!$G:$H,2,FALSE),"")</f>
        <v/>
      </c>
      <c r="J427" s="10"/>
      <c r="M427" s="11"/>
      <c r="Q427" s="7" t="str">
        <f>IF(VedAarnaSKUMaster[[#This Row],[HSN/SAC Code]]=998822,5%,IF(VedAarnaSKUMaster[[#This Row],[HSN/SAC Code]]=998391,18%,IF(VedAarnaSKUMaster[[#This Row],[HSN/SAC Code]]=998723,5%,"")))</f>
        <v/>
      </c>
      <c r="R427" s="5" t="str">
        <f t="shared" si="73"/>
        <v/>
      </c>
      <c r="S427" s="5" t="str">
        <f t="shared" si="74"/>
        <v/>
      </c>
      <c r="T427" s="11"/>
      <c r="U427" s="8" t="str">
        <f>IF(OR(VedAarnaSKUMaster[[#This Row],[Selling Price]]="",VedAarnaSKUMaster[[#This Row],[Selling Price]]=0),"",CEILING(VedAarnaSKUMaster[[#This Row],[Selling Price]]/(1-20%),100)-1)</f>
        <v/>
      </c>
      <c r="V427">
        <f t="shared" si="84"/>
        <v>0</v>
      </c>
      <c r="W427" s="8"/>
      <c r="Z427" s="6" t="str">
        <f t="shared" si="75"/>
        <v/>
      </c>
      <c r="AA427" s="6" t="str">
        <f t="shared" si="76"/>
        <v/>
      </c>
      <c r="AB427" s="6" t="str">
        <f t="shared" si="77"/>
        <v/>
      </c>
      <c r="AC427" s="6" t="str">
        <f t="shared" si="78"/>
        <v/>
      </c>
      <c r="AD427" s="6" t="str">
        <f t="shared" si="79"/>
        <v/>
      </c>
      <c r="AE427" s="6" t="str">
        <f t="shared" si="80"/>
        <v/>
      </c>
      <c r="AF427" s="6" t="str">
        <f t="shared" si="81"/>
        <v/>
      </c>
      <c r="AG427" s="6" t="str">
        <f t="shared" si="82"/>
        <v/>
      </c>
      <c r="AH427" s="6" t="str">
        <f t="shared" si="83"/>
        <v/>
      </c>
    </row>
    <row r="428" spans="1:34">
      <c r="A428" s="9"/>
      <c r="C428" s="4" t="str">
        <f>IFERROR(VLOOKUP(B428,'Code Lists'!$A:$B,2,FALSE),"")</f>
        <v/>
      </c>
      <c r="F428" s="4" t="str">
        <f>IFERROR(VLOOKUP(E428,'Code Lists'!$D:$E,2,FALSE),"")</f>
        <v/>
      </c>
      <c r="H428" s="4" t="str">
        <f>IFERROR(VLOOKUP(G428,'Code Lists'!$G:$H,2,FALSE),"")</f>
        <v/>
      </c>
      <c r="J428" s="10"/>
      <c r="M428" s="11"/>
      <c r="Q428" s="7" t="str">
        <f>IF(VedAarnaSKUMaster[[#This Row],[HSN/SAC Code]]=998822,5%,IF(VedAarnaSKUMaster[[#This Row],[HSN/SAC Code]]=998391,18%,IF(VedAarnaSKUMaster[[#This Row],[HSN/SAC Code]]=998723,5%,"")))</f>
        <v/>
      </c>
      <c r="R428" s="5" t="str">
        <f t="shared" si="73"/>
        <v/>
      </c>
      <c r="S428" s="5" t="str">
        <f t="shared" si="74"/>
        <v/>
      </c>
      <c r="T428" s="11"/>
      <c r="U428" s="8" t="str">
        <f>IF(OR(VedAarnaSKUMaster[[#This Row],[Selling Price]]="",VedAarnaSKUMaster[[#This Row],[Selling Price]]=0),"",CEILING(VedAarnaSKUMaster[[#This Row],[Selling Price]]/(1-20%),100)-1)</f>
        <v/>
      </c>
      <c r="V428">
        <f t="shared" si="84"/>
        <v>0</v>
      </c>
      <c r="W428" s="8"/>
      <c r="Z428" s="6" t="str">
        <f t="shared" si="75"/>
        <v/>
      </c>
      <c r="AA428" s="6" t="str">
        <f t="shared" si="76"/>
        <v/>
      </c>
      <c r="AB428" s="6" t="str">
        <f t="shared" si="77"/>
        <v/>
      </c>
      <c r="AC428" s="6" t="str">
        <f t="shared" si="78"/>
        <v/>
      </c>
      <c r="AD428" s="6" t="str">
        <f t="shared" si="79"/>
        <v/>
      </c>
      <c r="AE428" s="6" t="str">
        <f t="shared" si="80"/>
        <v/>
      </c>
      <c r="AF428" s="6" t="str">
        <f t="shared" si="81"/>
        <v/>
      </c>
      <c r="AG428" s="6" t="str">
        <f t="shared" si="82"/>
        <v/>
      </c>
      <c r="AH428" s="6" t="str">
        <f t="shared" si="83"/>
        <v/>
      </c>
    </row>
    <row r="429" spans="1:34">
      <c r="A429" s="9"/>
      <c r="C429" s="4" t="str">
        <f>IFERROR(VLOOKUP(B429,'Code Lists'!$A:$B,2,FALSE),"")</f>
        <v/>
      </c>
      <c r="F429" s="4" t="str">
        <f>IFERROR(VLOOKUP(E429,'Code Lists'!$D:$E,2,FALSE),"")</f>
        <v/>
      </c>
      <c r="H429" s="4" t="str">
        <f>IFERROR(VLOOKUP(G429,'Code Lists'!$G:$H,2,FALSE),"")</f>
        <v/>
      </c>
      <c r="J429" s="10"/>
      <c r="M429" s="11"/>
      <c r="Q429" s="7" t="str">
        <f>IF(VedAarnaSKUMaster[[#This Row],[HSN/SAC Code]]=998822,5%,IF(VedAarnaSKUMaster[[#This Row],[HSN/SAC Code]]=998391,18%,IF(VedAarnaSKUMaster[[#This Row],[HSN/SAC Code]]=998723,5%,"")))</f>
        <v/>
      </c>
      <c r="R429" s="5" t="str">
        <f t="shared" si="73"/>
        <v/>
      </c>
      <c r="S429" s="5" t="str">
        <f t="shared" si="74"/>
        <v/>
      </c>
      <c r="T429" s="11"/>
      <c r="U429" s="8" t="str">
        <f>IF(OR(VedAarnaSKUMaster[[#This Row],[Selling Price]]="",VedAarnaSKUMaster[[#This Row],[Selling Price]]=0),"",CEILING(VedAarnaSKUMaster[[#This Row],[Selling Price]]/(1-20%),100)-1)</f>
        <v/>
      </c>
      <c r="V429">
        <f t="shared" si="84"/>
        <v>0</v>
      </c>
      <c r="W429" s="8"/>
      <c r="Z429" s="6" t="str">
        <f t="shared" si="75"/>
        <v/>
      </c>
      <c r="AA429" s="6" t="str">
        <f t="shared" si="76"/>
        <v/>
      </c>
      <c r="AB429" s="6" t="str">
        <f t="shared" si="77"/>
        <v/>
      </c>
      <c r="AC429" s="6" t="str">
        <f t="shared" si="78"/>
        <v/>
      </c>
      <c r="AD429" s="6" t="str">
        <f t="shared" si="79"/>
        <v/>
      </c>
      <c r="AE429" s="6" t="str">
        <f t="shared" si="80"/>
        <v/>
      </c>
      <c r="AF429" s="6" t="str">
        <f t="shared" si="81"/>
        <v/>
      </c>
      <c r="AG429" s="6" t="str">
        <f t="shared" si="82"/>
        <v/>
      </c>
      <c r="AH429" s="6" t="str">
        <f t="shared" si="83"/>
        <v/>
      </c>
    </row>
    <row r="430" spans="1:34">
      <c r="A430" s="9"/>
      <c r="C430" s="4" t="str">
        <f>IFERROR(VLOOKUP(B430,'Code Lists'!$A:$B,2,FALSE),"")</f>
        <v/>
      </c>
      <c r="F430" s="4" t="str">
        <f>IFERROR(VLOOKUP(E430,'Code Lists'!$D:$E,2,FALSE),"")</f>
        <v/>
      </c>
      <c r="H430" s="4" t="str">
        <f>IFERROR(VLOOKUP(G430,'Code Lists'!$G:$H,2,FALSE),"")</f>
        <v/>
      </c>
      <c r="J430" s="10"/>
      <c r="M430" s="11"/>
      <c r="Q430" s="7" t="str">
        <f>IF(VedAarnaSKUMaster[[#This Row],[HSN/SAC Code]]=998822,5%,IF(VedAarnaSKUMaster[[#This Row],[HSN/SAC Code]]=998391,18%,IF(VedAarnaSKUMaster[[#This Row],[HSN/SAC Code]]=998723,5%,"")))</f>
        <v/>
      </c>
      <c r="R430" s="5" t="str">
        <f t="shared" si="73"/>
        <v/>
      </c>
      <c r="S430" s="5" t="str">
        <f t="shared" si="74"/>
        <v/>
      </c>
      <c r="T430" s="11"/>
      <c r="U430" s="8" t="str">
        <f>IF(OR(VedAarnaSKUMaster[[#This Row],[Selling Price]]="",VedAarnaSKUMaster[[#This Row],[Selling Price]]=0),"",CEILING(VedAarnaSKUMaster[[#This Row],[Selling Price]]/(1-20%),100)-1)</f>
        <v/>
      </c>
      <c r="V430">
        <f t="shared" si="84"/>
        <v>0</v>
      </c>
      <c r="W430" s="8"/>
      <c r="Z430" s="6" t="str">
        <f t="shared" si="75"/>
        <v/>
      </c>
      <c r="AA430" s="6" t="str">
        <f t="shared" si="76"/>
        <v/>
      </c>
      <c r="AB430" s="6" t="str">
        <f t="shared" si="77"/>
        <v/>
      </c>
      <c r="AC430" s="6" t="str">
        <f t="shared" si="78"/>
        <v/>
      </c>
      <c r="AD430" s="6" t="str">
        <f t="shared" si="79"/>
        <v/>
      </c>
      <c r="AE430" s="6" t="str">
        <f t="shared" si="80"/>
        <v/>
      </c>
      <c r="AF430" s="6" t="str">
        <f t="shared" si="81"/>
        <v/>
      </c>
      <c r="AG430" s="6" t="str">
        <f t="shared" si="82"/>
        <v/>
      </c>
      <c r="AH430" s="6" t="str">
        <f t="shared" si="83"/>
        <v/>
      </c>
    </row>
    <row r="431" spans="1:34">
      <c r="A431" s="9"/>
      <c r="C431" s="4" t="str">
        <f>IFERROR(VLOOKUP(B431,'Code Lists'!$A:$B,2,FALSE),"")</f>
        <v/>
      </c>
      <c r="F431" s="4" t="str">
        <f>IFERROR(VLOOKUP(E431,'Code Lists'!$D:$E,2,FALSE),"")</f>
        <v/>
      </c>
      <c r="H431" s="4" t="str">
        <f>IFERROR(VLOOKUP(G431,'Code Lists'!$G:$H,2,FALSE),"")</f>
        <v/>
      </c>
      <c r="J431" s="10"/>
      <c r="M431" s="11"/>
      <c r="Q431" s="7" t="str">
        <f>IF(VedAarnaSKUMaster[[#This Row],[HSN/SAC Code]]=998822,5%,IF(VedAarnaSKUMaster[[#This Row],[HSN/SAC Code]]=998391,18%,IF(VedAarnaSKUMaster[[#This Row],[HSN/SAC Code]]=998723,5%,"")))</f>
        <v/>
      </c>
      <c r="R431" s="5" t="str">
        <f t="shared" si="73"/>
        <v/>
      </c>
      <c r="S431" s="5" t="str">
        <f t="shared" si="74"/>
        <v/>
      </c>
      <c r="T431" s="11"/>
      <c r="U431" s="8" t="str">
        <f>IF(OR(VedAarnaSKUMaster[[#This Row],[Selling Price]]="",VedAarnaSKUMaster[[#This Row],[Selling Price]]=0),"",CEILING(VedAarnaSKUMaster[[#This Row],[Selling Price]]/(1-20%),100)-1)</f>
        <v/>
      </c>
      <c r="V431">
        <f t="shared" si="84"/>
        <v>0</v>
      </c>
      <c r="W431" s="8"/>
      <c r="Z431" s="6" t="str">
        <f t="shared" si="75"/>
        <v/>
      </c>
      <c r="AA431" s="6" t="str">
        <f t="shared" si="76"/>
        <v/>
      </c>
      <c r="AB431" s="6" t="str">
        <f t="shared" si="77"/>
        <v/>
      </c>
      <c r="AC431" s="6" t="str">
        <f t="shared" si="78"/>
        <v/>
      </c>
      <c r="AD431" s="6" t="str">
        <f t="shared" si="79"/>
        <v/>
      </c>
      <c r="AE431" s="6" t="str">
        <f t="shared" si="80"/>
        <v/>
      </c>
      <c r="AF431" s="6" t="str">
        <f t="shared" si="81"/>
        <v/>
      </c>
      <c r="AG431" s="6" t="str">
        <f t="shared" si="82"/>
        <v/>
      </c>
      <c r="AH431" s="6" t="str">
        <f t="shared" si="83"/>
        <v/>
      </c>
    </row>
    <row r="432" spans="1:34">
      <c r="A432" s="9"/>
      <c r="C432" s="4" t="str">
        <f>IFERROR(VLOOKUP(B432,'Code Lists'!$A:$B,2,FALSE),"")</f>
        <v/>
      </c>
      <c r="F432" s="4" t="str">
        <f>IFERROR(VLOOKUP(E432,'Code Lists'!$D:$E,2,FALSE),"")</f>
        <v/>
      </c>
      <c r="H432" s="4" t="str">
        <f>IFERROR(VLOOKUP(G432,'Code Lists'!$G:$H,2,FALSE),"")</f>
        <v/>
      </c>
      <c r="J432" s="10"/>
      <c r="M432" s="11"/>
      <c r="Q432" s="7" t="str">
        <f>IF(VedAarnaSKUMaster[[#This Row],[HSN/SAC Code]]=998822,5%,IF(VedAarnaSKUMaster[[#This Row],[HSN/SAC Code]]=998391,18%,IF(VedAarnaSKUMaster[[#This Row],[HSN/SAC Code]]=998723,5%,"")))</f>
        <v/>
      </c>
      <c r="R432" s="5" t="str">
        <f t="shared" si="73"/>
        <v/>
      </c>
      <c r="S432" s="5" t="str">
        <f t="shared" si="74"/>
        <v/>
      </c>
      <c r="T432" s="11"/>
      <c r="U432" s="8" t="str">
        <f>IF(OR(VedAarnaSKUMaster[[#This Row],[Selling Price]]="",VedAarnaSKUMaster[[#This Row],[Selling Price]]=0),"",CEILING(VedAarnaSKUMaster[[#This Row],[Selling Price]]/(1-20%),100)-1)</f>
        <v/>
      </c>
      <c r="V432">
        <f t="shared" si="84"/>
        <v>0</v>
      </c>
      <c r="W432" s="8"/>
      <c r="Z432" s="6" t="str">
        <f t="shared" si="75"/>
        <v/>
      </c>
      <c r="AA432" s="6" t="str">
        <f t="shared" si="76"/>
        <v/>
      </c>
      <c r="AB432" s="6" t="str">
        <f t="shared" si="77"/>
        <v/>
      </c>
      <c r="AC432" s="6" t="str">
        <f t="shared" si="78"/>
        <v/>
      </c>
      <c r="AD432" s="6" t="str">
        <f t="shared" si="79"/>
        <v/>
      </c>
      <c r="AE432" s="6" t="str">
        <f t="shared" si="80"/>
        <v/>
      </c>
      <c r="AF432" s="6" t="str">
        <f t="shared" si="81"/>
        <v/>
      </c>
      <c r="AG432" s="6" t="str">
        <f t="shared" si="82"/>
        <v/>
      </c>
      <c r="AH432" s="6" t="str">
        <f t="shared" si="83"/>
        <v/>
      </c>
    </row>
    <row r="433" spans="1:34">
      <c r="A433" s="9"/>
      <c r="C433" s="4" t="str">
        <f>IFERROR(VLOOKUP(B433,'Code Lists'!$A:$B,2,FALSE),"")</f>
        <v/>
      </c>
      <c r="F433" s="4" t="str">
        <f>IFERROR(VLOOKUP(E433,'Code Lists'!$D:$E,2,FALSE),"")</f>
        <v/>
      </c>
      <c r="H433" s="4" t="str">
        <f>IFERROR(VLOOKUP(G433,'Code Lists'!$G:$H,2,FALSE),"")</f>
        <v/>
      </c>
      <c r="J433" s="10"/>
      <c r="M433" s="11"/>
      <c r="Q433" s="7" t="str">
        <f>IF(VedAarnaSKUMaster[[#This Row],[HSN/SAC Code]]=998822,5%,IF(VedAarnaSKUMaster[[#This Row],[HSN/SAC Code]]=998391,18%,IF(VedAarnaSKUMaster[[#This Row],[HSN/SAC Code]]=998723,5%,"")))</f>
        <v/>
      </c>
      <c r="R433" s="5" t="str">
        <f t="shared" si="73"/>
        <v/>
      </c>
      <c r="S433" s="5" t="str">
        <f t="shared" si="74"/>
        <v/>
      </c>
      <c r="T433" s="11"/>
      <c r="U433" s="8" t="str">
        <f>IF(OR(VedAarnaSKUMaster[[#This Row],[Selling Price]]="",VedAarnaSKUMaster[[#This Row],[Selling Price]]=0),"",CEILING(VedAarnaSKUMaster[[#This Row],[Selling Price]]/(1-20%),100)-1)</f>
        <v/>
      </c>
      <c r="V433">
        <f t="shared" si="84"/>
        <v>0</v>
      </c>
      <c r="W433" s="8"/>
      <c r="Z433" s="6" t="str">
        <f t="shared" si="75"/>
        <v/>
      </c>
      <c r="AA433" s="6" t="str">
        <f t="shared" si="76"/>
        <v/>
      </c>
      <c r="AB433" s="6" t="str">
        <f t="shared" si="77"/>
        <v/>
      </c>
      <c r="AC433" s="6" t="str">
        <f t="shared" si="78"/>
        <v/>
      </c>
      <c r="AD433" s="6" t="str">
        <f t="shared" si="79"/>
        <v/>
      </c>
      <c r="AE433" s="6" t="str">
        <f t="shared" si="80"/>
        <v/>
      </c>
      <c r="AF433" s="6" t="str">
        <f t="shared" si="81"/>
        <v/>
      </c>
      <c r="AG433" s="6" t="str">
        <f t="shared" si="82"/>
        <v/>
      </c>
      <c r="AH433" s="6" t="str">
        <f t="shared" si="83"/>
        <v/>
      </c>
    </row>
    <row r="434" spans="1:34">
      <c r="A434" s="9"/>
      <c r="C434" s="4" t="str">
        <f>IFERROR(VLOOKUP(B434,'Code Lists'!$A:$B,2,FALSE),"")</f>
        <v/>
      </c>
      <c r="F434" s="4" t="str">
        <f>IFERROR(VLOOKUP(E434,'Code Lists'!$D:$E,2,FALSE),"")</f>
        <v/>
      </c>
      <c r="H434" s="4" t="str">
        <f>IFERROR(VLOOKUP(G434,'Code Lists'!$G:$H,2,FALSE),"")</f>
        <v/>
      </c>
      <c r="J434" s="10"/>
      <c r="M434" s="11"/>
      <c r="Q434" s="7" t="str">
        <f>IF(VedAarnaSKUMaster[[#This Row],[HSN/SAC Code]]=998822,5%,IF(VedAarnaSKUMaster[[#This Row],[HSN/SAC Code]]=998391,18%,IF(VedAarnaSKUMaster[[#This Row],[HSN/SAC Code]]=998723,5%,"")))</f>
        <v/>
      </c>
      <c r="R434" s="5" t="str">
        <f t="shared" si="73"/>
        <v/>
      </c>
      <c r="S434" s="5" t="str">
        <f t="shared" si="74"/>
        <v/>
      </c>
      <c r="T434" s="11"/>
      <c r="U434" s="8" t="str">
        <f>IF(OR(VedAarnaSKUMaster[[#This Row],[Selling Price]]="",VedAarnaSKUMaster[[#This Row],[Selling Price]]=0),"",CEILING(VedAarnaSKUMaster[[#This Row],[Selling Price]]/(1-20%),100)-1)</f>
        <v/>
      </c>
      <c r="V434">
        <f t="shared" si="84"/>
        <v>0</v>
      </c>
      <c r="W434" s="8"/>
      <c r="Z434" s="6" t="str">
        <f t="shared" si="75"/>
        <v/>
      </c>
      <c r="AA434" s="6" t="str">
        <f t="shared" si="76"/>
        <v/>
      </c>
      <c r="AB434" s="6" t="str">
        <f t="shared" si="77"/>
        <v/>
      </c>
      <c r="AC434" s="6" t="str">
        <f t="shared" si="78"/>
        <v/>
      </c>
      <c r="AD434" s="6" t="str">
        <f t="shared" si="79"/>
        <v/>
      </c>
      <c r="AE434" s="6" t="str">
        <f t="shared" si="80"/>
        <v/>
      </c>
      <c r="AF434" s="6" t="str">
        <f t="shared" si="81"/>
        <v/>
      </c>
      <c r="AG434" s="6" t="str">
        <f t="shared" si="82"/>
        <v/>
      </c>
      <c r="AH434" s="6" t="str">
        <f t="shared" si="83"/>
        <v/>
      </c>
    </row>
    <row r="435" spans="1:34">
      <c r="A435" s="9"/>
      <c r="C435" s="4" t="str">
        <f>IFERROR(VLOOKUP(B435,'Code Lists'!$A:$B,2,FALSE),"")</f>
        <v/>
      </c>
      <c r="F435" s="4" t="str">
        <f>IFERROR(VLOOKUP(E435,'Code Lists'!$D:$E,2,FALSE),"")</f>
        <v/>
      </c>
      <c r="H435" s="4" t="str">
        <f>IFERROR(VLOOKUP(G435,'Code Lists'!$G:$H,2,FALSE),"")</f>
        <v/>
      </c>
      <c r="J435" s="10"/>
      <c r="M435" s="11"/>
      <c r="Q435" s="7" t="str">
        <f>IF(VedAarnaSKUMaster[[#This Row],[HSN/SAC Code]]=998822,5%,IF(VedAarnaSKUMaster[[#This Row],[HSN/SAC Code]]=998391,18%,IF(VedAarnaSKUMaster[[#This Row],[HSN/SAC Code]]=998723,5%,"")))</f>
        <v/>
      </c>
      <c r="R435" s="5" t="str">
        <f t="shared" si="73"/>
        <v/>
      </c>
      <c r="S435" s="5" t="str">
        <f t="shared" si="74"/>
        <v/>
      </c>
      <c r="T435" s="11"/>
      <c r="U435" s="8" t="str">
        <f>IF(OR(VedAarnaSKUMaster[[#This Row],[Selling Price]]="",VedAarnaSKUMaster[[#This Row],[Selling Price]]=0),"",CEILING(VedAarnaSKUMaster[[#This Row],[Selling Price]]/(1-20%),100)-1)</f>
        <v/>
      </c>
      <c r="V435">
        <f t="shared" si="84"/>
        <v>0</v>
      </c>
      <c r="W435" s="8"/>
      <c r="Z435" s="6" t="str">
        <f t="shared" si="75"/>
        <v/>
      </c>
      <c r="AA435" s="6" t="str">
        <f t="shared" si="76"/>
        <v/>
      </c>
      <c r="AB435" s="6" t="str">
        <f t="shared" si="77"/>
        <v/>
      </c>
      <c r="AC435" s="6" t="str">
        <f t="shared" si="78"/>
        <v/>
      </c>
      <c r="AD435" s="6" t="str">
        <f t="shared" si="79"/>
        <v/>
      </c>
      <c r="AE435" s="6" t="str">
        <f t="shared" si="80"/>
        <v/>
      </c>
      <c r="AF435" s="6" t="str">
        <f t="shared" si="81"/>
        <v/>
      </c>
      <c r="AG435" s="6" t="str">
        <f t="shared" si="82"/>
        <v/>
      </c>
      <c r="AH435" s="6" t="str">
        <f t="shared" si="83"/>
        <v/>
      </c>
    </row>
    <row r="436" spans="1:34">
      <c r="A436" s="9"/>
      <c r="C436" s="4" t="str">
        <f>IFERROR(VLOOKUP(B436,'Code Lists'!$A:$B,2,FALSE),"")</f>
        <v/>
      </c>
      <c r="F436" s="4" t="str">
        <f>IFERROR(VLOOKUP(E436,'Code Lists'!$D:$E,2,FALSE),"")</f>
        <v/>
      </c>
      <c r="H436" s="4" t="str">
        <f>IFERROR(VLOOKUP(G436,'Code Lists'!$G:$H,2,FALSE),"")</f>
        <v/>
      </c>
      <c r="J436" s="10"/>
      <c r="M436" s="11"/>
      <c r="Q436" s="7" t="str">
        <f>IF(VedAarnaSKUMaster[[#This Row],[HSN/SAC Code]]=998822,5%,IF(VedAarnaSKUMaster[[#This Row],[HSN/SAC Code]]=998391,18%,IF(VedAarnaSKUMaster[[#This Row],[HSN/SAC Code]]=998723,5%,"")))</f>
        <v/>
      </c>
      <c r="R436" s="5" t="str">
        <f t="shared" si="73"/>
        <v/>
      </c>
      <c r="S436" s="5" t="str">
        <f t="shared" si="74"/>
        <v/>
      </c>
      <c r="T436" s="11"/>
      <c r="U436" s="8" t="str">
        <f>IF(OR(VedAarnaSKUMaster[[#This Row],[Selling Price]]="",VedAarnaSKUMaster[[#This Row],[Selling Price]]=0),"",CEILING(VedAarnaSKUMaster[[#This Row],[Selling Price]]/(1-20%),100)-1)</f>
        <v/>
      </c>
      <c r="V436">
        <f t="shared" si="84"/>
        <v>0</v>
      </c>
      <c r="W436" s="8"/>
      <c r="Z436" s="6" t="str">
        <f t="shared" si="75"/>
        <v/>
      </c>
      <c r="AA436" s="6" t="str">
        <f t="shared" si="76"/>
        <v/>
      </c>
      <c r="AB436" s="6" t="str">
        <f t="shared" si="77"/>
        <v/>
      </c>
      <c r="AC436" s="6" t="str">
        <f t="shared" si="78"/>
        <v/>
      </c>
      <c r="AD436" s="6" t="str">
        <f t="shared" si="79"/>
        <v/>
      </c>
      <c r="AE436" s="6" t="str">
        <f t="shared" si="80"/>
        <v/>
      </c>
      <c r="AF436" s="6" t="str">
        <f t="shared" si="81"/>
        <v/>
      </c>
      <c r="AG436" s="6" t="str">
        <f t="shared" si="82"/>
        <v/>
      </c>
      <c r="AH436" s="6" t="str">
        <f t="shared" si="83"/>
        <v/>
      </c>
    </row>
    <row r="437" spans="1:34">
      <c r="A437" s="9"/>
      <c r="C437" s="4" t="str">
        <f>IFERROR(VLOOKUP(B437,'Code Lists'!$A:$B,2,FALSE),"")</f>
        <v/>
      </c>
      <c r="F437" s="4" t="str">
        <f>IFERROR(VLOOKUP(E437,'Code Lists'!$D:$E,2,FALSE),"")</f>
        <v/>
      </c>
      <c r="H437" s="4" t="str">
        <f>IFERROR(VLOOKUP(G437,'Code Lists'!$G:$H,2,FALSE),"")</f>
        <v/>
      </c>
      <c r="J437" s="10"/>
      <c r="M437" s="11"/>
      <c r="Q437" s="7" t="str">
        <f>IF(VedAarnaSKUMaster[[#This Row],[HSN/SAC Code]]=998822,5%,IF(VedAarnaSKUMaster[[#This Row],[HSN/SAC Code]]=998391,18%,IF(VedAarnaSKUMaster[[#This Row],[HSN/SAC Code]]=998723,5%,"")))</f>
        <v/>
      </c>
      <c r="R437" s="5" t="str">
        <f t="shared" si="73"/>
        <v/>
      </c>
      <c r="S437" s="5" t="str">
        <f t="shared" si="74"/>
        <v/>
      </c>
      <c r="T437" s="11"/>
      <c r="U437" s="8" t="str">
        <f>IF(OR(VedAarnaSKUMaster[[#This Row],[Selling Price]]="",VedAarnaSKUMaster[[#This Row],[Selling Price]]=0),"",CEILING(VedAarnaSKUMaster[[#This Row],[Selling Price]]/(1-20%),100)-1)</f>
        <v/>
      </c>
      <c r="V437">
        <f t="shared" si="84"/>
        <v>0</v>
      </c>
      <c r="W437" s="8"/>
      <c r="Z437" s="6" t="str">
        <f t="shared" si="75"/>
        <v/>
      </c>
      <c r="AA437" s="6" t="str">
        <f t="shared" si="76"/>
        <v/>
      </c>
      <c r="AB437" s="6" t="str">
        <f t="shared" si="77"/>
        <v/>
      </c>
      <c r="AC437" s="6" t="str">
        <f t="shared" si="78"/>
        <v/>
      </c>
      <c r="AD437" s="6" t="str">
        <f t="shared" si="79"/>
        <v/>
      </c>
      <c r="AE437" s="6" t="str">
        <f t="shared" si="80"/>
        <v/>
      </c>
      <c r="AF437" s="6" t="str">
        <f t="shared" si="81"/>
        <v/>
      </c>
      <c r="AG437" s="6" t="str">
        <f t="shared" si="82"/>
        <v/>
      </c>
      <c r="AH437" s="6" t="str">
        <f t="shared" si="83"/>
        <v/>
      </c>
    </row>
    <row r="438" spans="1:34">
      <c r="A438" s="9"/>
      <c r="C438" s="4" t="str">
        <f>IFERROR(VLOOKUP(B438,'Code Lists'!$A:$B,2,FALSE),"")</f>
        <v/>
      </c>
      <c r="F438" s="4" t="str">
        <f>IFERROR(VLOOKUP(E438,'Code Lists'!$D:$E,2,FALSE),"")</f>
        <v/>
      </c>
      <c r="H438" s="4" t="str">
        <f>IFERROR(VLOOKUP(G438,'Code Lists'!$G:$H,2,FALSE),"")</f>
        <v/>
      </c>
      <c r="J438" s="10"/>
      <c r="M438" s="11"/>
      <c r="Q438" s="7" t="str">
        <f>IF(VedAarnaSKUMaster[[#This Row],[HSN/SAC Code]]=998822,5%,IF(VedAarnaSKUMaster[[#This Row],[HSN/SAC Code]]=998391,18%,IF(VedAarnaSKUMaster[[#This Row],[HSN/SAC Code]]=998723,5%,"")))</f>
        <v/>
      </c>
      <c r="R438" s="5" t="str">
        <f t="shared" si="73"/>
        <v/>
      </c>
      <c r="S438" s="5" t="str">
        <f t="shared" si="74"/>
        <v/>
      </c>
      <c r="T438" s="11"/>
      <c r="U438" s="8" t="str">
        <f>IF(OR(VedAarnaSKUMaster[[#This Row],[Selling Price]]="",VedAarnaSKUMaster[[#This Row],[Selling Price]]=0),"",CEILING(VedAarnaSKUMaster[[#This Row],[Selling Price]]/(1-20%),100)-1)</f>
        <v/>
      </c>
      <c r="V438">
        <f t="shared" si="84"/>
        <v>0</v>
      </c>
      <c r="W438" s="8"/>
      <c r="Z438" s="6" t="str">
        <f t="shared" si="75"/>
        <v/>
      </c>
      <c r="AA438" s="6" t="str">
        <f t="shared" si="76"/>
        <v/>
      </c>
      <c r="AB438" s="6" t="str">
        <f t="shared" si="77"/>
        <v/>
      </c>
      <c r="AC438" s="6" t="str">
        <f t="shared" si="78"/>
        <v/>
      </c>
      <c r="AD438" s="6" t="str">
        <f t="shared" si="79"/>
        <v/>
      </c>
      <c r="AE438" s="6" t="str">
        <f t="shared" si="80"/>
        <v/>
      </c>
      <c r="AF438" s="6" t="str">
        <f t="shared" si="81"/>
        <v/>
      </c>
      <c r="AG438" s="6" t="str">
        <f t="shared" si="82"/>
        <v/>
      </c>
      <c r="AH438" s="6" t="str">
        <f t="shared" si="83"/>
        <v/>
      </c>
    </row>
    <row r="439" spans="1:34">
      <c r="A439" s="9"/>
      <c r="C439" s="4" t="str">
        <f>IFERROR(VLOOKUP(B439,'Code Lists'!$A:$B,2,FALSE),"")</f>
        <v/>
      </c>
      <c r="F439" s="4" t="str">
        <f>IFERROR(VLOOKUP(E439,'Code Lists'!$D:$E,2,FALSE),"")</f>
        <v/>
      </c>
      <c r="H439" s="4" t="str">
        <f>IFERROR(VLOOKUP(G439,'Code Lists'!$G:$H,2,FALSE),"")</f>
        <v/>
      </c>
      <c r="J439" s="10"/>
      <c r="M439" s="11"/>
      <c r="Q439" s="7" t="str">
        <f>IF(VedAarnaSKUMaster[[#This Row],[HSN/SAC Code]]=998822,5%,IF(VedAarnaSKUMaster[[#This Row],[HSN/SAC Code]]=998391,18%,IF(VedAarnaSKUMaster[[#This Row],[HSN/SAC Code]]=998723,5%,"")))</f>
        <v/>
      </c>
      <c r="R439" s="5" t="str">
        <f t="shared" si="73"/>
        <v/>
      </c>
      <c r="S439" s="5" t="str">
        <f t="shared" si="74"/>
        <v/>
      </c>
      <c r="T439" s="11"/>
      <c r="U439" s="8" t="str">
        <f>IF(OR(VedAarnaSKUMaster[[#This Row],[Selling Price]]="",VedAarnaSKUMaster[[#This Row],[Selling Price]]=0),"",CEILING(VedAarnaSKUMaster[[#This Row],[Selling Price]]/(1-20%),100)-1)</f>
        <v/>
      </c>
      <c r="V439">
        <f t="shared" si="84"/>
        <v>0</v>
      </c>
      <c r="W439" s="8"/>
      <c r="Z439" s="6" t="str">
        <f t="shared" si="75"/>
        <v/>
      </c>
      <c r="AA439" s="6" t="str">
        <f t="shared" si="76"/>
        <v/>
      </c>
      <c r="AB439" s="6" t="str">
        <f t="shared" si="77"/>
        <v/>
      </c>
      <c r="AC439" s="6" t="str">
        <f t="shared" si="78"/>
        <v/>
      </c>
      <c r="AD439" s="6" t="str">
        <f t="shared" si="79"/>
        <v/>
      </c>
      <c r="AE439" s="6" t="str">
        <f t="shared" si="80"/>
        <v/>
      </c>
      <c r="AF439" s="6" t="str">
        <f t="shared" si="81"/>
        <v/>
      </c>
      <c r="AG439" s="6" t="str">
        <f t="shared" si="82"/>
        <v/>
      </c>
      <c r="AH439" s="6" t="str">
        <f t="shared" si="83"/>
        <v/>
      </c>
    </row>
    <row r="440" spans="1:34">
      <c r="A440" s="9"/>
      <c r="C440" s="4" t="str">
        <f>IFERROR(VLOOKUP(B440,'Code Lists'!$A:$B,2,FALSE),"")</f>
        <v/>
      </c>
      <c r="F440" s="4" t="str">
        <f>IFERROR(VLOOKUP(E440,'Code Lists'!$D:$E,2,FALSE),"")</f>
        <v/>
      </c>
      <c r="H440" s="4" t="str">
        <f>IFERROR(VLOOKUP(G440,'Code Lists'!$G:$H,2,FALSE),"")</f>
        <v/>
      </c>
      <c r="J440" s="10"/>
      <c r="M440" s="11"/>
      <c r="Q440" s="7" t="str">
        <f>IF(VedAarnaSKUMaster[[#This Row],[HSN/SAC Code]]=998822,5%,IF(VedAarnaSKUMaster[[#This Row],[HSN/SAC Code]]=998391,18%,IF(VedAarnaSKUMaster[[#This Row],[HSN/SAC Code]]=998723,5%,"")))</f>
        <v/>
      </c>
      <c r="R440" s="5" t="str">
        <f t="shared" si="73"/>
        <v/>
      </c>
      <c r="S440" s="5" t="str">
        <f t="shared" si="74"/>
        <v/>
      </c>
      <c r="T440" s="11"/>
      <c r="U440" s="8" t="str">
        <f>IF(OR(VedAarnaSKUMaster[[#This Row],[Selling Price]]="",VedAarnaSKUMaster[[#This Row],[Selling Price]]=0),"",CEILING(VedAarnaSKUMaster[[#This Row],[Selling Price]]/(1-20%),100)-1)</f>
        <v/>
      </c>
      <c r="V440">
        <f t="shared" si="84"/>
        <v>0</v>
      </c>
      <c r="W440" s="8"/>
      <c r="Z440" s="6" t="str">
        <f t="shared" si="75"/>
        <v/>
      </c>
      <c r="AA440" s="6" t="str">
        <f t="shared" si="76"/>
        <v/>
      </c>
      <c r="AB440" s="6" t="str">
        <f t="shared" si="77"/>
        <v/>
      </c>
      <c r="AC440" s="6" t="str">
        <f t="shared" si="78"/>
        <v/>
      </c>
      <c r="AD440" s="6" t="str">
        <f t="shared" si="79"/>
        <v/>
      </c>
      <c r="AE440" s="6" t="str">
        <f t="shared" si="80"/>
        <v/>
      </c>
      <c r="AF440" s="6" t="str">
        <f t="shared" si="81"/>
        <v/>
      </c>
      <c r="AG440" s="6" t="str">
        <f t="shared" si="82"/>
        <v/>
      </c>
      <c r="AH440" s="6" t="str">
        <f t="shared" si="83"/>
        <v/>
      </c>
    </row>
    <row r="441" spans="1:34">
      <c r="A441" s="9"/>
      <c r="C441" s="4" t="str">
        <f>IFERROR(VLOOKUP(B441,'Code Lists'!$A:$B,2,FALSE),"")</f>
        <v/>
      </c>
      <c r="F441" s="4" t="str">
        <f>IFERROR(VLOOKUP(E441,'Code Lists'!$D:$E,2,FALSE),"")</f>
        <v/>
      </c>
      <c r="H441" s="4" t="str">
        <f>IFERROR(VLOOKUP(G441,'Code Lists'!$G:$H,2,FALSE),"")</f>
        <v/>
      </c>
      <c r="J441" s="10"/>
      <c r="M441" s="11"/>
      <c r="Q441" s="7" t="str">
        <f>IF(VedAarnaSKUMaster[[#This Row],[HSN/SAC Code]]=998822,5%,IF(VedAarnaSKUMaster[[#This Row],[HSN/SAC Code]]=998391,18%,IF(VedAarnaSKUMaster[[#This Row],[HSN/SAC Code]]=998723,5%,"")))</f>
        <v/>
      </c>
      <c r="R441" s="5" t="str">
        <f t="shared" si="73"/>
        <v/>
      </c>
      <c r="S441" s="5" t="str">
        <f t="shared" si="74"/>
        <v/>
      </c>
      <c r="T441" s="11"/>
      <c r="U441" s="8" t="str">
        <f>IF(OR(VedAarnaSKUMaster[[#This Row],[Selling Price]]="",VedAarnaSKUMaster[[#This Row],[Selling Price]]=0),"",CEILING(VedAarnaSKUMaster[[#This Row],[Selling Price]]/(1-20%),100)-1)</f>
        <v/>
      </c>
      <c r="V441">
        <f t="shared" si="84"/>
        <v>0</v>
      </c>
      <c r="W441" s="8"/>
      <c r="Z441" s="6" t="str">
        <f t="shared" si="75"/>
        <v/>
      </c>
      <c r="AA441" s="6" t="str">
        <f t="shared" si="76"/>
        <v/>
      </c>
      <c r="AB441" s="6" t="str">
        <f t="shared" si="77"/>
        <v/>
      </c>
      <c r="AC441" s="6" t="str">
        <f t="shared" si="78"/>
        <v/>
      </c>
      <c r="AD441" s="6" t="str">
        <f t="shared" si="79"/>
        <v/>
      </c>
      <c r="AE441" s="6" t="str">
        <f t="shared" si="80"/>
        <v/>
      </c>
      <c r="AF441" s="6" t="str">
        <f t="shared" si="81"/>
        <v/>
      </c>
      <c r="AG441" s="6" t="str">
        <f t="shared" si="82"/>
        <v/>
      </c>
      <c r="AH441" s="6" t="str">
        <f t="shared" si="83"/>
        <v/>
      </c>
    </row>
    <row r="442" spans="1:34">
      <c r="A442" s="9"/>
      <c r="C442" s="4" t="str">
        <f>IFERROR(VLOOKUP(B442,'Code Lists'!$A:$B,2,FALSE),"")</f>
        <v/>
      </c>
      <c r="F442" s="4" t="str">
        <f>IFERROR(VLOOKUP(E442,'Code Lists'!$D:$E,2,FALSE),"")</f>
        <v/>
      </c>
      <c r="H442" s="4" t="str">
        <f>IFERROR(VLOOKUP(G442,'Code Lists'!$G:$H,2,FALSE),"")</f>
        <v/>
      </c>
      <c r="J442" s="10"/>
      <c r="M442" s="11"/>
      <c r="Q442" s="7" t="str">
        <f>IF(VedAarnaSKUMaster[[#This Row],[HSN/SAC Code]]=998822,5%,IF(VedAarnaSKUMaster[[#This Row],[HSN/SAC Code]]=998391,18%,IF(VedAarnaSKUMaster[[#This Row],[HSN/SAC Code]]=998723,5%,"")))</f>
        <v/>
      </c>
      <c r="R442" s="5" t="str">
        <f t="shared" si="73"/>
        <v/>
      </c>
      <c r="S442" s="5" t="str">
        <f t="shared" si="74"/>
        <v/>
      </c>
      <c r="T442" s="11"/>
      <c r="U442" s="8" t="str">
        <f>IF(OR(VedAarnaSKUMaster[[#This Row],[Selling Price]]="",VedAarnaSKUMaster[[#This Row],[Selling Price]]=0),"",CEILING(VedAarnaSKUMaster[[#This Row],[Selling Price]]/(1-20%),100)-1)</f>
        <v/>
      </c>
      <c r="V442">
        <f t="shared" si="84"/>
        <v>0</v>
      </c>
      <c r="W442" s="8"/>
      <c r="Z442" s="6" t="str">
        <f t="shared" si="75"/>
        <v/>
      </c>
      <c r="AA442" s="6" t="str">
        <f t="shared" si="76"/>
        <v/>
      </c>
      <c r="AB442" s="6" t="str">
        <f t="shared" si="77"/>
        <v/>
      </c>
      <c r="AC442" s="6" t="str">
        <f t="shared" si="78"/>
        <v/>
      </c>
      <c r="AD442" s="6" t="str">
        <f t="shared" si="79"/>
        <v/>
      </c>
      <c r="AE442" s="6" t="str">
        <f t="shared" si="80"/>
        <v/>
      </c>
      <c r="AF442" s="6" t="str">
        <f t="shared" si="81"/>
        <v/>
      </c>
      <c r="AG442" s="6" t="str">
        <f t="shared" si="82"/>
        <v/>
      </c>
      <c r="AH442" s="6" t="str">
        <f t="shared" si="83"/>
        <v/>
      </c>
    </row>
    <row r="443" spans="1:34">
      <c r="A443" s="9"/>
      <c r="C443" s="4" t="str">
        <f>IFERROR(VLOOKUP(B443,'Code Lists'!$A:$B,2,FALSE),"")</f>
        <v/>
      </c>
      <c r="F443" s="4" t="str">
        <f>IFERROR(VLOOKUP(E443,'Code Lists'!$D:$E,2,FALSE),"")</f>
        <v/>
      </c>
      <c r="H443" s="4" t="str">
        <f>IFERROR(VLOOKUP(G443,'Code Lists'!$G:$H,2,FALSE),"")</f>
        <v/>
      </c>
      <c r="J443" s="10"/>
      <c r="M443" s="11"/>
      <c r="Q443" s="7" t="str">
        <f>IF(VedAarnaSKUMaster[[#This Row],[HSN/SAC Code]]=998822,5%,IF(VedAarnaSKUMaster[[#This Row],[HSN/SAC Code]]=998391,18%,IF(VedAarnaSKUMaster[[#This Row],[HSN/SAC Code]]=998723,5%,"")))</f>
        <v/>
      </c>
      <c r="R443" s="5" t="str">
        <f t="shared" si="73"/>
        <v/>
      </c>
      <c r="S443" s="5" t="str">
        <f t="shared" si="74"/>
        <v/>
      </c>
      <c r="T443" s="11"/>
      <c r="U443" s="8" t="str">
        <f>IF(OR(VedAarnaSKUMaster[[#This Row],[Selling Price]]="",VedAarnaSKUMaster[[#This Row],[Selling Price]]=0),"",CEILING(VedAarnaSKUMaster[[#This Row],[Selling Price]]/(1-20%),100)-1)</f>
        <v/>
      </c>
      <c r="V443">
        <f t="shared" si="84"/>
        <v>0</v>
      </c>
      <c r="W443" s="8"/>
      <c r="Z443" s="6" t="str">
        <f t="shared" si="75"/>
        <v/>
      </c>
      <c r="AA443" s="6" t="str">
        <f t="shared" si="76"/>
        <v/>
      </c>
      <c r="AB443" s="6" t="str">
        <f t="shared" si="77"/>
        <v/>
      </c>
      <c r="AC443" s="6" t="str">
        <f t="shared" si="78"/>
        <v/>
      </c>
      <c r="AD443" s="6" t="str">
        <f t="shared" si="79"/>
        <v/>
      </c>
      <c r="AE443" s="6" t="str">
        <f t="shared" si="80"/>
        <v/>
      </c>
      <c r="AF443" s="6" t="str">
        <f t="shared" si="81"/>
        <v/>
      </c>
      <c r="AG443" s="6" t="str">
        <f t="shared" si="82"/>
        <v/>
      </c>
      <c r="AH443" s="6" t="str">
        <f t="shared" si="83"/>
        <v/>
      </c>
    </row>
    <row r="444" spans="1:34">
      <c r="A444" s="9"/>
      <c r="C444" s="4" t="str">
        <f>IFERROR(VLOOKUP(B444,'Code Lists'!$A:$B,2,FALSE),"")</f>
        <v/>
      </c>
      <c r="F444" s="4" t="str">
        <f>IFERROR(VLOOKUP(E444,'Code Lists'!$D:$E,2,FALSE),"")</f>
        <v/>
      </c>
      <c r="H444" s="4" t="str">
        <f>IFERROR(VLOOKUP(G444,'Code Lists'!$G:$H,2,FALSE),"")</f>
        <v/>
      </c>
      <c r="J444" s="10"/>
      <c r="M444" s="11"/>
      <c r="Q444" s="7" t="str">
        <f>IF(VedAarnaSKUMaster[[#This Row],[HSN/SAC Code]]=998822,5%,IF(VedAarnaSKUMaster[[#This Row],[HSN/SAC Code]]=998391,18%,IF(VedAarnaSKUMaster[[#This Row],[HSN/SAC Code]]=998723,5%,"")))</f>
        <v/>
      </c>
      <c r="R444" s="5" t="str">
        <f t="shared" si="73"/>
        <v/>
      </c>
      <c r="S444" s="5" t="str">
        <f t="shared" si="74"/>
        <v/>
      </c>
      <c r="T444" s="11"/>
      <c r="U444" s="8" t="str">
        <f>IF(OR(VedAarnaSKUMaster[[#This Row],[Selling Price]]="",VedAarnaSKUMaster[[#This Row],[Selling Price]]=0),"",CEILING(VedAarnaSKUMaster[[#This Row],[Selling Price]]/(1-20%),100)-1)</f>
        <v/>
      </c>
      <c r="V444">
        <f t="shared" si="84"/>
        <v>0</v>
      </c>
      <c r="W444" s="8"/>
      <c r="Z444" s="6" t="str">
        <f t="shared" si="75"/>
        <v/>
      </c>
      <c r="AA444" s="6" t="str">
        <f t="shared" si="76"/>
        <v/>
      </c>
      <c r="AB444" s="6" t="str">
        <f t="shared" si="77"/>
        <v/>
      </c>
      <c r="AC444" s="6" t="str">
        <f t="shared" si="78"/>
        <v/>
      </c>
      <c r="AD444" s="6" t="str">
        <f t="shared" si="79"/>
        <v/>
      </c>
      <c r="AE444" s="6" t="str">
        <f t="shared" si="80"/>
        <v/>
      </c>
      <c r="AF444" s="6" t="str">
        <f t="shared" si="81"/>
        <v/>
      </c>
      <c r="AG444" s="6" t="str">
        <f t="shared" si="82"/>
        <v/>
      </c>
      <c r="AH444" s="6" t="str">
        <f t="shared" si="83"/>
        <v/>
      </c>
    </row>
    <row r="445" spans="1:34">
      <c r="A445" s="9"/>
      <c r="C445" s="4" t="str">
        <f>IFERROR(VLOOKUP(B445,'Code Lists'!$A:$B,2,FALSE),"")</f>
        <v/>
      </c>
      <c r="F445" s="4" t="str">
        <f>IFERROR(VLOOKUP(E445,'Code Lists'!$D:$E,2,FALSE),"")</f>
        <v/>
      </c>
      <c r="H445" s="4" t="str">
        <f>IFERROR(VLOOKUP(G445,'Code Lists'!$G:$H,2,FALSE),"")</f>
        <v/>
      </c>
      <c r="J445" s="10"/>
      <c r="M445" s="11"/>
      <c r="Q445" s="7" t="str">
        <f>IF(VedAarnaSKUMaster[[#This Row],[HSN/SAC Code]]=998822,5%,IF(VedAarnaSKUMaster[[#This Row],[HSN/SAC Code]]=998391,18%,IF(VedAarnaSKUMaster[[#This Row],[HSN/SAC Code]]=998723,5%,"")))</f>
        <v/>
      </c>
      <c r="R445" s="5" t="str">
        <f t="shared" si="73"/>
        <v/>
      </c>
      <c r="S445" s="5" t="str">
        <f t="shared" si="74"/>
        <v/>
      </c>
      <c r="T445" s="11"/>
      <c r="U445" s="8" t="str">
        <f>IF(OR(VedAarnaSKUMaster[[#This Row],[Selling Price]]="",VedAarnaSKUMaster[[#This Row],[Selling Price]]=0),"",CEILING(VedAarnaSKUMaster[[#This Row],[Selling Price]]/(1-20%),100)-1)</f>
        <v/>
      </c>
      <c r="V445">
        <f t="shared" si="84"/>
        <v>0</v>
      </c>
      <c r="W445" s="8"/>
      <c r="Z445" s="6" t="str">
        <f t="shared" si="75"/>
        <v/>
      </c>
      <c r="AA445" s="6" t="str">
        <f t="shared" si="76"/>
        <v/>
      </c>
      <c r="AB445" s="6" t="str">
        <f t="shared" si="77"/>
        <v/>
      </c>
      <c r="AC445" s="6" t="str">
        <f t="shared" si="78"/>
        <v/>
      </c>
      <c r="AD445" s="6" t="str">
        <f t="shared" si="79"/>
        <v/>
      </c>
      <c r="AE445" s="6" t="str">
        <f t="shared" si="80"/>
        <v/>
      </c>
      <c r="AF445" s="6" t="str">
        <f t="shared" si="81"/>
        <v/>
      </c>
      <c r="AG445" s="6" t="str">
        <f t="shared" si="82"/>
        <v/>
      </c>
      <c r="AH445" s="6" t="str">
        <f t="shared" si="83"/>
        <v/>
      </c>
    </row>
    <row r="446" spans="1:34">
      <c r="A446" s="9"/>
      <c r="C446" s="4" t="str">
        <f>IFERROR(VLOOKUP(B446,'Code Lists'!$A:$B,2,FALSE),"")</f>
        <v/>
      </c>
      <c r="F446" s="4" t="str">
        <f>IFERROR(VLOOKUP(E446,'Code Lists'!$D:$E,2,FALSE),"")</f>
        <v/>
      </c>
      <c r="H446" s="4" t="str">
        <f>IFERROR(VLOOKUP(G446,'Code Lists'!$G:$H,2,FALSE),"")</f>
        <v/>
      </c>
      <c r="J446" s="10"/>
      <c r="M446" s="11"/>
      <c r="Q446" s="7" t="str">
        <f>IF(VedAarnaSKUMaster[[#This Row],[HSN/SAC Code]]=998822,5%,IF(VedAarnaSKUMaster[[#This Row],[HSN/SAC Code]]=998391,18%,IF(VedAarnaSKUMaster[[#This Row],[HSN/SAC Code]]=998723,5%,"")))</f>
        <v/>
      </c>
      <c r="R446" s="5" t="str">
        <f t="shared" si="73"/>
        <v/>
      </c>
      <c r="S446" s="5" t="str">
        <f t="shared" si="74"/>
        <v/>
      </c>
      <c r="T446" s="11"/>
      <c r="U446" s="8" t="str">
        <f>IF(OR(VedAarnaSKUMaster[[#This Row],[Selling Price]]="",VedAarnaSKUMaster[[#This Row],[Selling Price]]=0),"",CEILING(VedAarnaSKUMaster[[#This Row],[Selling Price]]/(1-20%),100)-1)</f>
        <v/>
      </c>
      <c r="V446">
        <f t="shared" si="84"/>
        <v>0</v>
      </c>
      <c r="W446" s="8"/>
      <c r="Z446" s="6" t="str">
        <f t="shared" si="75"/>
        <v/>
      </c>
      <c r="AA446" s="6" t="str">
        <f t="shared" si="76"/>
        <v/>
      </c>
      <c r="AB446" s="6" t="str">
        <f t="shared" si="77"/>
        <v/>
      </c>
      <c r="AC446" s="6" t="str">
        <f t="shared" si="78"/>
        <v/>
      </c>
      <c r="AD446" s="6" t="str">
        <f t="shared" si="79"/>
        <v/>
      </c>
      <c r="AE446" s="6" t="str">
        <f t="shared" si="80"/>
        <v/>
      </c>
      <c r="AF446" s="6" t="str">
        <f t="shared" si="81"/>
        <v/>
      </c>
      <c r="AG446" s="6" t="str">
        <f t="shared" si="82"/>
        <v/>
      </c>
      <c r="AH446" s="6" t="str">
        <f t="shared" si="83"/>
        <v/>
      </c>
    </row>
    <row r="447" spans="1:34">
      <c r="A447" s="9"/>
      <c r="C447" s="4" t="str">
        <f>IFERROR(VLOOKUP(B447,'Code Lists'!$A:$B,2,FALSE),"")</f>
        <v/>
      </c>
      <c r="F447" s="4" t="str">
        <f>IFERROR(VLOOKUP(E447,'Code Lists'!$D:$E,2,FALSE),"")</f>
        <v/>
      </c>
      <c r="H447" s="4" t="str">
        <f>IFERROR(VLOOKUP(G447,'Code Lists'!$G:$H,2,FALSE),"")</f>
        <v/>
      </c>
      <c r="J447" s="10"/>
      <c r="M447" s="11"/>
      <c r="Q447" s="7" t="str">
        <f>IF(VedAarnaSKUMaster[[#This Row],[HSN/SAC Code]]=998822,5%,IF(VedAarnaSKUMaster[[#This Row],[HSN/SAC Code]]=998391,18%,IF(VedAarnaSKUMaster[[#This Row],[HSN/SAC Code]]=998723,5%,"")))</f>
        <v/>
      </c>
      <c r="R447" s="5" t="str">
        <f t="shared" si="73"/>
        <v/>
      </c>
      <c r="S447" s="5" t="str">
        <f t="shared" si="74"/>
        <v/>
      </c>
      <c r="T447" s="11"/>
      <c r="U447" s="8" t="str">
        <f>IF(OR(VedAarnaSKUMaster[[#This Row],[Selling Price]]="",VedAarnaSKUMaster[[#This Row],[Selling Price]]=0),"",CEILING(VedAarnaSKUMaster[[#This Row],[Selling Price]]/(1-20%),100)-1)</f>
        <v/>
      </c>
      <c r="V447">
        <f t="shared" si="84"/>
        <v>0</v>
      </c>
      <c r="W447" s="8"/>
      <c r="Z447" s="6" t="str">
        <f t="shared" si="75"/>
        <v/>
      </c>
      <c r="AA447" s="6" t="str">
        <f t="shared" si="76"/>
        <v/>
      </c>
      <c r="AB447" s="6" t="str">
        <f t="shared" si="77"/>
        <v/>
      </c>
      <c r="AC447" s="6" t="str">
        <f t="shared" si="78"/>
        <v/>
      </c>
      <c r="AD447" s="6" t="str">
        <f t="shared" si="79"/>
        <v/>
      </c>
      <c r="AE447" s="6" t="str">
        <f t="shared" si="80"/>
        <v/>
      </c>
      <c r="AF447" s="6" t="str">
        <f t="shared" si="81"/>
        <v/>
      </c>
      <c r="AG447" s="6" t="str">
        <f t="shared" si="82"/>
        <v/>
      </c>
      <c r="AH447" s="6" t="str">
        <f t="shared" si="83"/>
        <v/>
      </c>
    </row>
    <row r="448" spans="1:34">
      <c r="A448" s="9"/>
      <c r="C448" s="4" t="str">
        <f>IFERROR(VLOOKUP(B448,'Code Lists'!$A:$B,2,FALSE),"")</f>
        <v/>
      </c>
      <c r="F448" s="4" t="str">
        <f>IFERROR(VLOOKUP(E448,'Code Lists'!$D:$E,2,FALSE),"")</f>
        <v/>
      </c>
      <c r="H448" s="4" t="str">
        <f>IFERROR(VLOOKUP(G448,'Code Lists'!$G:$H,2,FALSE),"")</f>
        <v/>
      </c>
      <c r="J448" s="10"/>
      <c r="M448" s="11"/>
      <c r="Q448" s="7" t="str">
        <f>IF(VedAarnaSKUMaster[[#This Row],[HSN/SAC Code]]=998822,5%,IF(VedAarnaSKUMaster[[#This Row],[HSN/SAC Code]]=998391,18%,IF(VedAarnaSKUMaster[[#This Row],[HSN/SAC Code]]=998723,5%,"")))</f>
        <v/>
      </c>
      <c r="R448" s="5" t="str">
        <f t="shared" si="73"/>
        <v/>
      </c>
      <c r="S448" s="5" t="str">
        <f t="shared" si="74"/>
        <v/>
      </c>
      <c r="T448" s="11"/>
      <c r="U448" s="8" t="str">
        <f>IF(OR(VedAarnaSKUMaster[[#This Row],[Selling Price]]="",VedAarnaSKUMaster[[#This Row],[Selling Price]]=0),"",CEILING(VedAarnaSKUMaster[[#This Row],[Selling Price]]/(1-20%),100)-1)</f>
        <v/>
      </c>
      <c r="V448">
        <f t="shared" si="84"/>
        <v>0</v>
      </c>
      <c r="W448" s="8"/>
      <c r="Z448" s="6" t="str">
        <f t="shared" si="75"/>
        <v/>
      </c>
      <c r="AA448" s="6" t="str">
        <f t="shared" si="76"/>
        <v/>
      </c>
      <c r="AB448" s="6" t="str">
        <f t="shared" si="77"/>
        <v/>
      </c>
      <c r="AC448" s="6" t="str">
        <f t="shared" si="78"/>
        <v/>
      </c>
      <c r="AD448" s="6" t="str">
        <f t="shared" si="79"/>
        <v/>
      </c>
      <c r="AE448" s="6" t="str">
        <f t="shared" si="80"/>
        <v/>
      </c>
      <c r="AF448" s="6" t="str">
        <f t="shared" si="81"/>
        <v/>
      </c>
      <c r="AG448" s="6" t="str">
        <f t="shared" si="82"/>
        <v/>
      </c>
      <c r="AH448" s="6" t="str">
        <f t="shared" si="83"/>
        <v/>
      </c>
    </row>
    <row r="449" spans="1:34">
      <c r="A449" s="9"/>
      <c r="C449" s="4" t="str">
        <f>IFERROR(VLOOKUP(B449,'Code Lists'!$A:$B,2,FALSE),"")</f>
        <v/>
      </c>
      <c r="F449" s="4" t="str">
        <f>IFERROR(VLOOKUP(E449,'Code Lists'!$D:$E,2,FALSE),"")</f>
        <v/>
      </c>
      <c r="H449" s="4" t="str">
        <f>IFERROR(VLOOKUP(G449,'Code Lists'!$G:$H,2,FALSE),"")</f>
        <v/>
      </c>
      <c r="J449" s="10"/>
      <c r="M449" s="11"/>
      <c r="Q449" s="7" t="str">
        <f>IF(VedAarnaSKUMaster[[#This Row],[HSN/SAC Code]]=998822,5%,IF(VedAarnaSKUMaster[[#This Row],[HSN/SAC Code]]=998391,18%,IF(VedAarnaSKUMaster[[#This Row],[HSN/SAC Code]]=998723,5%,"")))</f>
        <v/>
      </c>
      <c r="R449" s="5" t="str">
        <f t="shared" ref="R449:R500" si="85">IF(OR(A449="",C449="",H449="",J449=""),"","VS-"&amp;C449&amp;IF(D449&lt;&gt;"","-"&amp;D449,"")&amp;"-"&amp;TEXT(A449,"0000")&amp;"-"&amp;H449&amp;"-"&amp;RIGHT(TEXT(J449,"0000"),2))</f>
        <v/>
      </c>
      <c r="S449" s="5" t="str">
        <f t="shared" ref="S449:S500" si="86">IF(OR(A449="",C449="",F449="",H449="",I449="",J449=""),"","VS-"&amp;C449&amp;IF(D449&lt;&gt;"","-"&amp;D449,"")&amp;"-"&amp;TEXT(A449,"0000")&amp;"-"&amp;F449&amp;"-"&amp;H449&amp;"-"&amp;I449&amp;"-"&amp;RIGHT(TEXT(J449,"0000"),2))</f>
        <v/>
      </c>
      <c r="T449" s="11"/>
      <c r="U449" s="8" t="str">
        <f>IF(OR(VedAarnaSKUMaster[[#This Row],[Selling Price]]="",VedAarnaSKUMaster[[#This Row],[Selling Price]]=0),"",CEILING(VedAarnaSKUMaster[[#This Row],[Selling Price]]/(1-20%),100)-1)</f>
        <v/>
      </c>
      <c r="V449">
        <f t="shared" si="84"/>
        <v>0</v>
      </c>
      <c r="W449" s="8"/>
      <c r="Z449" s="6" t="str">
        <f t="shared" si="75"/>
        <v/>
      </c>
      <c r="AA449" s="6" t="str">
        <f t="shared" si="76"/>
        <v/>
      </c>
      <c r="AB449" s="6" t="str">
        <f t="shared" si="77"/>
        <v/>
      </c>
      <c r="AC449" s="6" t="str">
        <f t="shared" si="78"/>
        <v/>
      </c>
      <c r="AD449" s="6" t="str">
        <f t="shared" si="79"/>
        <v/>
      </c>
      <c r="AE449" s="6" t="str">
        <f t="shared" si="80"/>
        <v/>
      </c>
      <c r="AF449" s="6" t="str">
        <f t="shared" si="81"/>
        <v/>
      </c>
      <c r="AG449" s="6" t="str">
        <f t="shared" si="82"/>
        <v/>
      </c>
      <c r="AH449" s="6" t="str">
        <f t="shared" si="83"/>
        <v/>
      </c>
    </row>
    <row r="450" spans="1:34">
      <c r="A450" s="9"/>
      <c r="C450" s="4" t="str">
        <f>IFERROR(VLOOKUP(B450,'Code Lists'!$A:$B,2,FALSE),"")</f>
        <v/>
      </c>
      <c r="F450" s="4" t="str">
        <f>IFERROR(VLOOKUP(E450,'Code Lists'!$D:$E,2,FALSE),"")</f>
        <v/>
      </c>
      <c r="H450" s="4" t="str">
        <f>IFERROR(VLOOKUP(G450,'Code Lists'!$G:$H,2,FALSE),"")</f>
        <v/>
      </c>
      <c r="J450" s="10"/>
      <c r="M450" s="11"/>
      <c r="Q450" s="7" t="str">
        <f>IF(VedAarnaSKUMaster[[#This Row],[HSN/SAC Code]]=998822,5%,IF(VedAarnaSKUMaster[[#This Row],[HSN/SAC Code]]=998391,18%,IF(VedAarnaSKUMaster[[#This Row],[HSN/SAC Code]]=998723,5%,"")))</f>
        <v/>
      </c>
      <c r="R450" s="5" t="str">
        <f t="shared" si="85"/>
        <v/>
      </c>
      <c r="S450" s="5" t="str">
        <f t="shared" si="86"/>
        <v/>
      </c>
      <c r="T450" s="11"/>
      <c r="U450" s="8" t="str">
        <f>IF(OR(VedAarnaSKUMaster[[#This Row],[Selling Price]]="",VedAarnaSKUMaster[[#This Row],[Selling Price]]=0),"",CEILING(VedAarnaSKUMaster[[#This Row],[Selling Price]]/(1-20%),100)-1)</f>
        <v/>
      </c>
      <c r="V450">
        <f t="shared" si="84"/>
        <v>0</v>
      </c>
      <c r="W450" s="8"/>
      <c r="Z450" s="6" t="str">
        <f t="shared" ref="Z450:Z500" si="87">IF($R450="","",$R450&amp;"-01-FR.png")</f>
        <v/>
      </c>
      <c r="AA450" s="6" t="str">
        <f t="shared" ref="AA450:AA500" si="88">IF($R450="","",$R450&amp;"-02-SD.png")</f>
        <v/>
      </c>
      <c r="AB450" s="6" t="str">
        <f t="shared" ref="AB450:AB500" si="89">IF($R450="","",$R450&amp;"-03-BK.png")</f>
        <v/>
      </c>
      <c r="AC450" s="6" t="str">
        <f t="shared" ref="AC450:AC500" si="90">IF($R450="","",$R450&amp;"-04-CD.png")</f>
        <v/>
      </c>
      <c r="AD450" s="6" t="str">
        <f t="shared" ref="AD450:AD500" si="91">IF($R450="","",$R450&amp;"-05-WK.png")</f>
        <v/>
      </c>
      <c r="AE450" s="6" t="str">
        <f t="shared" ref="AE450:AE500" si="92">IF($R450="","",$R450&amp;"-06-ST.png")</f>
        <v/>
      </c>
      <c r="AF450" s="6" t="str">
        <f t="shared" ref="AF450:AF500" si="93">IF($R450="","",$R450&amp;"-FB.png")</f>
        <v/>
      </c>
      <c r="AG450" s="6" t="str">
        <f t="shared" ref="AG450:AG500" si="94">IF($R450="","",$R450&amp;"-DT.png")</f>
        <v/>
      </c>
      <c r="AH450" s="6" t="str">
        <f t="shared" ref="AH450:AH500" si="95">IF($R450="","",$R450&amp;"-REF-01.png")</f>
        <v/>
      </c>
    </row>
    <row r="451" spans="1:34">
      <c r="A451" s="9"/>
      <c r="C451" s="4" t="str">
        <f>IFERROR(VLOOKUP(B451,'Code Lists'!$A:$B,2,FALSE),"")</f>
        <v/>
      </c>
      <c r="F451" s="4" t="str">
        <f>IFERROR(VLOOKUP(E451,'Code Lists'!$D:$E,2,FALSE),"")</f>
        <v/>
      </c>
      <c r="H451" s="4" t="str">
        <f>IFERROR(VLOOKUP(G451,'Code Lists'!$G:$H,2,FALSE),"")</f>
        <v/>
      </c>
      <c r="J451" s="10"/>
      <c r="M451" s="11"/>
      <c r="Q451" s="7" t="str">
        <f>IF(VedAarnaSKUMaster[[#This Row],[HSN/SAC Code]]=998822,5%,IF(VedAarnaSKUMaster[[#This Row],[HSN/SAC Code]]=998391,18%,IF(VedAarnaSKUMaster[[#This Row],[HSN/SAC Code]]=998723,5%,"")))</f>
        <v/>
      </c>
      <c r="R451" s="5" t="str">
        <f t="shared" si="85"/>
        <v/>
      </c>
      <c r="S451" s="5" t="str">
        <f t="shared" si="86"/>
        <v/>
      </c>
      <c r="T451" s="11"/>
      <c r="U451" s="8" t="str">
        <f>IF(OR(VedAarnaSKUMaster[[#This Row],[Selling Price]]="",VedAarnaSKUMaster[[#This Row],[Selling Price]]=0),"",CEILING(VedAarnaSKUMaster[[#This Row],[Selling Price]]/(1-20%),100)-1)</f>
        <v/>
      </c>
      <c r="V451">
        <f t="shared" ref="V451:V500" si="96">ROUND(W451/(1-50%),-2)</f>
        <v>0</v>
      </c>
      <c r="W451" s="8"/>
      <c r="Z451" s="6" t="str">
        <f t="shared" si="87"/>
        <v/>
      </c>
      <c r="AA451" s="6" t="str">
        <f t="shared" si="88"/>
        <v/>
      </c>
      <c r="AB451" s="6" t="str">
        <f t="shared" si="89"/>
        <v/>
      </c>
      <c r="AC451" s="6" t="str">
        <f t="shared" si="90"/>
        <v/>
      </c>
      <c r="AD451" s="6" t="str">
        <f t="shared" si="91"/>
        <v/>
      </c>
      <c r="AE451" s="6" t="str">
        <f t="shared" si="92"/>
        <v/>
      </c>
      <c r="AF451" s="6" t="str">
        <f t="shared" si="93"/>
        <v/>
      </c>
      <c r="AG451" s="6" t="str">
        <f t="shared" si="94"/>
        <v/>
      </c>
      <c r="AH451" s="6" t="str">
        <f t="shared" si="95"/>
        <v/>
      </c>
    </row>
    <row r="452" spans="1:34">
      <c r="A452" s="9"/>
      <c r="C452" s="4" t="str">
        <f>IFERROR(VLOOKUP(B452,'Code Lists'!$A:$B,2,FALSE),"")</f>
        <v/>
      </c>
      <c r="F452" s="4" t="str">
        <f>IFERROR(VLOOKUP(E452,'Code Lists'!$D:$E,2,FALSE),"")</f>
        <v/>
      </c>
      <c r="H452" s="4" t="str">
        <f>IFERROR(VLOOKUP(G452,'Code Lists'!$G:$H,2,FALSE),"")</f>
        <v/>
      </c>
      <c r="J452" s="10"/>
      <c r="M452" s="11"/>
      <c r="Q452" s="7" t="str">
        <f>IF(VedAarnaSKUMaster[[#This Row],[HSN/SAC Code]]=998822,5%,IF(VedAarnaSKUMaster[[#This Row],[HSN/SAC Code]]=998391,18%,IF(VedAarnaSKUMaster[[#This Row],[HSN/SAC Code]]=998723,5%,"")))</f>
        <v/>
      </c>
      <c r="R452" s="5" t="str">
        <f t="shared" si="85"/>
        <v/>
      </c>
      <c r="S452" s="5" t="str">
        <f t="shared" si="86"/>
        <v/>
      </c>
      <c r="T452" s="11"/>
      <c r="U452" s="8" t="str">
        <f>IF(OR(VedAarnaSKUMaster[[#This Row],[Selling Price]]="",VedAarnaSKUMaster[[#This Row],[Selling Price]]=0),"",CEILING(VedAarnaSKUMaster[[#This Row],[Selling Price]]/(1-20%),100)-1)</f>
        <v/>
      </c>
      <c r="V452">
        <f t="shared" si="96"/>
        <v>0</v>
      </c>
      <c r="W452" s="8"/>
      <c r="Z452" s="6" t="str">
        <f t="shared" si="87"/>
        <v/>
      </c>
      <c r="AA452" s="6" t="str">
        <f t="shared" si="88"/>
        <v/>
      </c>
      <c r="AB452" s="6" t="str">
        <f t="shared" si="89"/>
        <v/>
      </c>
      <c r="AC452" s="6" t="str">
        <f t="shared" si="90"/>
        <v/>
      </c>
      <c r="AD452" s="6" t="str">
        <f t="shared" si="91"/>
        <v/>
      </c>
      <c r="AE452" s="6" t="str">
        <f t="shared" si="92"/>
        <v/>
      </c>
      <c r="AF452" s="6" t="str">
        <f t="shared" si="93"/>
        <v/>
      </c>
      <c r="AG452" s="6" t="str">
        <f t="shared" si="94"/>
        <v/>
      </c>
      <c r="AH452" s="6" t="str">
        <f t="shared" si="95"/>
        <v/>
      </c>
    </row>
    <row r="453" spans="1:34">
      <c r="A453" s="9"/>
      <c r="C453" s="4" t="str">
        <f>IFERROR(VLOOKUP(B453,'Code Lists'!$A:$B,2,FALSE),"")</f>
        <v/>
      </c>
      <c r="F453" s="4" t="str">
        <f>IFERROR(VLOOKUP(E453,'Code Lists'!$D:$E,2,FALSE),"")</f>
        <v/>
      </c>
      <c r="H453" s="4" t="str">
        <f>IFERROR(VLOOKUP(G453,'Code Lists'!$G:$H,2,FALSE),"")</f>
        <v/>
      </c>
      <c r="J453" s="10"/>
      <c r="M453" s="11"/>
      <c r="Q453" s="7" t="str">
        <f>IF(VedAarnaSKUMaster[[#This Row],[HSN/SAC Code]]=998822,5%,IF(VedAarnaSKUMaster[[#This Row],[HSN/SAC Code]]=998391,18%,IF(VedAarnaSKUMaster[[#This Row],[HSN/SAC Code]]=998723,5%,"")))</f>
        <v/>
      </c>
      <c r="R453" s="5" t="str">
        <f t="shared" si="85"/>
        <v/>
      </c>
      <c r="S453" s="5" t="str">
        <f t="shared" si="86"/>
        <v/>
      </c>
      <c r="T453" s="11"/>
      <c r="U453" s="8" t="str">
        <f>IF(OR(VedAarnaSKUMaster[[#This Row],[Selling Price]]="",VedAarnaSKUMaster[[#This Row],[Selling Price]]=0),"",CEILING(VedAarnaSKUMaster[[#This Row],[Selling Price]]/(1-20%),100)-1)</f>
        <v/>
      </c>
      <c r="V453">
        <f t="shared" si="96"/>
        <v>0</v>
      </c>
      <c r="W453" s="8"/>
      <c r="Z453" s="6" t="str">
        <f t="shared" si="87"/>
        <v/>
      </c>
      <c r="AA453" s="6" t="str">
        <f t="shared" si="88"/>
        <v/>
      </c>
      <c r="AB453" s="6" t="str">
        <f t="shared" si="89"/>
        <v/>
      </c>
      <c r="AC453" s="6" t="str">
        <f t="shared" si="90"/>
        <v/>
      </c>
      <c r="AD453" s="6" t="str">
        <f t="shared" si="91"/>
        <v/>
      </c>
      <c r="AE453" s="6" t="str">
        <f t="shared" si="92"/>
        <v/>
      </c>
      <c r="AF453" s="6" t="str">
        <f t="shared" si="93"/>
        <v/>
      </c>
      <c r="AG453" s="6" t="str">
        <f t="shared" si="94"/>
        <v/>
      </c>
      <c r="AH453" s="6" t="str">
        <f t="shared" si="95"/>
        <v/>
      </c>
    </row>
    <row r="454" spans="1:34">
      <c r="A454" s="9"/>
      <c r="C454" s="4" t="str">
        <f>IFERROR(VLOOKUP(B454,'Code Lists'!$A:$B,2,FALSE),"")</f>
        <v/>
      </c>
      <c r="F454" s="4" t="str">
        <f>IFERROR(VLOOKUP(E454,'Code Lists'!$D:$E,2,FALSE),"")</f>
        <v/>
      </c>
      <c r="H454" s="4" t="str">
        <f>IFERROR(VLOOKUP(G454,'Code Lists'!$G:$H,2,FALSE),"")</f>
        <v/>
      </c>
      <c r="J454" s="10"/>
      <c r="M454" s="11"/>
      <c r="Q454" s="7" t="str">
        <f>IF(VedAarnaSKUMaster[[#This Row],[HSN/SAC Code]]=998822,5%,IF(VedAarnaSKUMaster[[#This Row],[HSN/SAC Code]]=998391,18%,IF(VedAarnaSKUMaster[[#This Row],[HSN/SAC Code]]=998723,5%,"")))</f>
        <v/>
      </c>
      <c r="R454" s="5" t="str">
        <f t="shared" si="85"/>
        <v/>
      </c>
      <c r="S454" s="5" t="str">
        <f t="shared" si="86"/>
        <v/>
      </c>
      <c r="T454" s="11"/>
      <c r="U454" s="8" t="str">
        <f>IF(OR(VedAarnaSKUMaster[[#This Row],[Selling Price]]="",VedAarnaSKUMaster[[#This Row],[Selling Price]]=0),"",CEILING(VedAarnaSKUMaster[[#This Row],[Selling Price]]/(1-20%),100)-1)</f>
        <v/>
      </c>
      <c r="V454">
        <f t="shared" si="96"/>
        <v>0</v>
      </c>
      <c r="W454" s="8"/>
      <c r="Z454" s="6" t="str">
        <f t="shared" si="87"/>
        <v/>
      </c>
      <c r="AA454" s="6" t="str">
        <f t="shared" si="88"/>
        <v/>
      </c>
      <c r="AB454" s="6" t="str">
        <f t="shared" si="89"/>
        <v/>
      </c>
      <c r="AC454" s="6" t="str">
        <f t="shared" si="90"/>
        <v/>
      </c>
      <c r="AD454" s="6" t="str">
        <f t="shared" si="91"/>
        <v/>
      </c>
      <c r="AE454" s="6" t="str">
        <f t="shared" si="92"/>
        <v/>
      </c>
      <c r="AF454" s="6" t="str">
        <f t="shared" si="93"/>
        <v/>
      </c>
      <c r="AG454" s="6" t="str">
        <f t="shared" si="94"/>
        <v/>
      </c>
      <c r="AH454" s="6" t="str">
        <f t="shared" si="95"/>
        <v/>
      </c>
    </row>
    <row r="455" spans="1:34">
      <c r="A455" s="9"/>
      <c r="C455" s="4" t="str">
        <f>IFERROR(VLOOKUP(B455,'Code Lists'!$A:$B,2,FALSE),"")</f>
        <v/>
      </c>
      <c r="F455" s="4" t="str">
        <f>IFERROR(VLOOKUP(E455,'Code Lists'!$D:$E,2,FALSE),"")</f>
        <v/>
      </c>
      <c r="H455" s="4" t="str">
        <f>IFERROR(VLOOKUP(G455,'Code Lists'!$G:$H,2,FALSE),"")</f>
        <v/>
      </c>
      <c r="J455" s="10"/>
      <c r="M455" s="11"/>
      <c r="Q455" s="7" t="str">
        <f>IF(VedAarnaSKUMaster[[#This Row],[HSN/SAC Code]]=998822,5%,IF(VedAarnaSKUMaster[[#This Row],[HSN/SAC Code]]=998391,18%,IF(VedAarnaSKUMaster[[#This Row],[HSN/SAC Code]]=998723,5%,"")))</f>
        <v/>
      </c>
      <c r="R455" s="5" t="str">
        <f t="shared" si="85"/>
        <v/>
      </c>
      <c r="S455" s="5" t="str">
        <f t="shared" si="86"/>
        <v/>
      </c>
      <c r="T455" s="11"/>
      <c r="U455" s="8" t="str">
        <f>IF(OR(VedAarnaSKUMaster[[#This Row],[Selling Price]]="",VedAarnaSKUMaster[[#This Row],[Selling Price]]=0),"",CEILING(VedAarnaSKUMaster[[#This Row],[Selling Price]]/(1-20%),100)-1)</f>
        <v/>
      </c>
      <c r="V455">
        <f t="shared" si="96"/>
        <v>0</v>
      </c>
      <c r="W455" s="8"/>
      <c r="Z455" s="6" t="str">
        <f t="shared" si="87"/>
        <v/>
      </c>
      <c r="AA455" s="6" t="str">
        <f t="shared" si="88"/>
        <v/>
      </c>
      <c r="AB455" s="6" t="str">
        <f t="shared" si="89"/>
        <v/>
      </c>
      <c r="AC455" s="6" t="str">
        <f t="shared" si="90"/>
        <v/>
      </c>
      <c r="AD455" s="6" t="str">
        <f t="shared" si="91"/>
        <v/>
      </c>
      <c r="AE455" s="6" t="str">
        <f t="shared" si="92"/>
        <v/>
      </c>
      <c r="AF455" s="6" t="str">
        <f t="shared" si="93"/>
        <v/>
      </c>
      <c r="AG455" s="6" t="str">
        <f t="shared" si="94"/>
        <v/>
      </c>
      <c r="AH455" s="6" t="str">
        <f t="shared" si="95"/>
        <v/>
      </c>
    </row>
    <row r="456" spans="1:34">
      <c r="A456" s="9"/>
      <c r="C456" s="4" t="str">
        <f>IFERROR(VLOOKUP(B456,'Code Lists'!$A:$B,2,FALSE),"")</f>
        <v/>
      </c>
      <c r="F456" s="4" t="str">
        <f>IFERROR(VLOOKUP(E456,'Code Lists'!$D:$E,2,FALSE),"")</f>
        <v/>
      </c>
      <c r="H456" s="4" t="str">
        <f>IFERROR(VLOOKUP(G456,'Code Lists'!$G:$H,2,FALSE),"")</f>
        <v/>
      </c>
      <c r="J456" s="10"/>
      <c r="M456" s="11"/>
      <c r="Q456" s="7" t="str">
        <f>IF(VedAarnaSKUMaster[[#This Row],[HSN/SAC Code]]=998822,5%,IF(VedAarnaSKUMaster[[#This Row],[HSN/SAC Code]]=998391,18%,IF(VedAarnaSKUMaster[[#This Row],[HSN/SAC Code]]=998723,5%,"")))</f>
        <v/>
      </c>
      <c r="R456" s="5" t="str">
        <f t="shared" si="85"/>
        <v/>
      </c>
      <c r="S456" s="5" t="str">
        <f t="shared" si="86"/>
        <v/>
      </c>
      <c r="T456" s="11"/>
      <c r="U456" s="8" t="str">
        <f>IF(OR(VedAarnaSKUMaster[[#This Row],[Selling Price]]="",VedAarnaSKUMaster[[#This Row],[Selling Price]]=0),"",CEILING(VedAarnaSKUMaster[[#This Row],[Selling Price]]/(1-20%),100)-1)</f>
        <v/>
      </c>
      <c r="V456">
        <f t="shared" si="96"/>
        <v>0</v>
      </c>
      <c r="W456" s="8"/>
      <c r="Z456" s="6" t="str">
        <f t="shared" si="87"/>
        <v/>
      </c>
      <c r="AA456" s="6" t="str">
        <f t="shared" si="88"/>
        <v/>
      </c>
      <c r="AB456" s="6" t="str">
        <f t="shared" si="89"/>
        <v/>
      </c>
      <c r="AC456" s="6" t="str">
        <f t="shared" si="90"/>
        <v/>
      </c>
      <c r="AD456" s="6" t="str">
        <f t="shared" si="91"/>
        <v/>
      </c>
      <c r="AE456" s="6" t="str">
        <f t="shared" si="92"/>
        <v/>
      </c>
      <c r="AF456" s="6" t="str">
        <f t="shared" si="93"/>
        <v/>
      </c>
      <c r="AG456" s="6" t="str">
        <f t="shared" si="94"/>
        <v/>
      </c>
      <c r="AH456" s="6" t="str">
        <f t="shared" si="95"/>
        <v/>
      </c>
    </row>
    <row r="457" spans="1:34">
      <c r="A457" s="9"/>
      <c r="C457" s="4" t="str">
        <f>IFERROR(VLOOKUP(B457,'Code Lists'!$A:$B,2,FALSE),"")</f>
        <v/>
      </c>
      <c r="F457" s="4" t="str">
        <f>IFERROR(VLOOKUP(E457,'Code Lists'!$D:$E,2,FALSE),"")</f>
        <v/>
      </c>
      <c r="H457" s="4" t="str">
        <f>IFERROR(VLOOKUP(G457,'Code Lists'!$G:$H,2,FALSE),"")</f>
        <v/>
      </c>
      <c r="J457" s="10"/>
      <c r="M457" s="11"/>
      <c r="Q457" s="7" t="str">
        <f>IF(VedAarnaSKUMaster[[#This Row],[HSN/SAC Code]]=998822,5%,IF(VedAarnaSKUMaster[[#This Row],[HSN/SAC Code]]=998391,18%,IF(VedAarnaSKUMaster[[#This Row],[HSN/SAC Code]]=998723,5%,"")))</f>
        <v/>
      </c>
      <c r="R457" s="5" t="str">
        <f t="shared" si="85"/>
        <v/>
      </c>
      <c r="S457" s="5" t="str">
        <f t="shared" si="86"/>
        <v/>
      </c>
      <c r="T457" s="11"/>
      <c r="U457" s="8" t="str">
        <f>IF(OR(VedAarnaSKUMaster[[#This Row],[Selling Price]]="",VedAarnaSKUMaster[[#This Row],[Selling Price]]=0),"",CEILING(VedAarnaSKUMaster[[#This Row],[Selling Price]]/(1-20%),100)-1)</f>
        <v/>
      </c>
      <c r="V457">
        <f t="shared" si="96"/>
        <v>0</v>
      </c>
      <c r="W457" s="8"/>
      <c r="Z457" s="6" t="str">
        <f t="shared" si="87"/>
        <v/>
      </c>
      <c r="AA457" s="6" t="str">
        <f t="shared" si="88"/>
        <v/>
      </c>
      <c r="AB457" s="6" t="str">
        <f t="shared" si="89"/>
        <v/>
      </c>
      <c r="AC457" s="6" t="str">
        <f t="shared" si="90"/>
        <v/>
      </c>
      <c r="AD457" s="6" t="str">
        <f t="shared" si="91"/>
        <v/>
      </c>
      <c r="AE457" s="6" t="str">
        <f t="shared" si="92"/>
        <v/>
      </c>
      <c r="AF457" s="6" t="str">
        <f t="shared" si="93"/>
        <v/>
      </c>
      <c r="AG457" s="6" t="str">
        <f t="shared" si="94"/>
        <v/>
      </c>
      <c r="AH457" s="6" t="str">
        <f t="shared" si="95"/>
        <v/>
      </c>
    </row>
    <row r="458" spans="1:34">
      <c r="A458" s="9"/>
      <c r="C458" s="4" t="str">
        <f>IFERROR(VLOOKUP(B458,'Code Lists'!$A:$B,2,FALSE),"")</f>
        <v/>
      </c>
      <c r="F458" s="4" t="str">
        <f>IFERROR(VLOOKUP(E458,'Code Lists'!$D:$E,2,FALSE),"")</f>
        <v/>
      </c>
      <c r="H458" s="4" t="str">
        <f>IFERROR(VLOOKUP(G458,'Code Lists'!$G:$H,2,FALSE),"")</f>
        <v/>
      </c>
      <c r="J458" s="10"/>
      <c r="M458" s="11"/>
      <c r="Q458" s="7" t="str">
        <f>IF(VedAarnaSKUMaster[[#This Row],[HSN/SAC Code]]=998822,5%,IF(VedAarnaSKUMaster[[#This Row],[HSN/SAC Code]]=998391,18%,IF(VedAarnaSKUMaster[[#This Row],[HSN/SAC Code]]=998723,5%,"")))</f>
        <v/>
      </c>
      <c r="R458" s="5" t="str">
        <f t="shared" si="85"/>
        <v/>
      </c>
      <c r="S458" s="5" t="str">
        <f t="shared" si="86"/>
        <v/>
      </c>
      <c r="T458" s="11"/>
      <c r="U458" s="8" t="str">
        <f>IF(OR(VedAarnaSKUMaster[[#This Row],[Selling Price]]="",VedAarnaSKUMaster[[#This Row],[Selling Price]]=0),"",CEILING(VedAarnaSKUMaster[[#This Row],[Selling Price]]/(1-20%),100)-1)</f>
        <v/>
      </c>
      <c r="V458">
        <f t="shared" si="96"/>
        <v>0</v>
      </c>
      <c r="W458" s="8"/>
      <c r="Z458" s="6" t="str">
        <f t="shared" si="87"/>
        <v/>
      </c>
      <c r="AA458" s="6" t="str">
        <f t="shared" si="88"/>
        <v/>
      </c>
      <c r="AB458" s="6" t="str">
        <f t="shared" si="89"/>
        <v/>
      </c>
      <c r="AC458" s="6" t="str">
        <f t="shared" si="90"/>
        <v/>
      </c>
      <c r="AD458" s="6" t="str">
        <f t="shared" si="91"/>
        <v/>
      </c>
      <c r="AE458" s="6" t="str">
        <f t="shared" si="92"/>
        <v/>
      </c>
      <c r="AF458" s="6" t="str">
        <f t="shared" si="93"/>
        <v/>
      </c>
      <c r="AG458" s="6" t="str">
        <f t="shared" si="94"/>
        <v/>
      </c>
      <c r="AH458" s="6" t="str">
        <f t="shared" si="95"/>
        <v/>
      </c>
    </row>
    <row r="459" spans="1:34">
      <c r="A459" s="9"/>
      <c r="C459" s="4" t="str">
        <f>IFERROR(VLOOKUP(B459,'Code Lists'!$A:$B,2,FALSE),"")</f>
        <v/>
      </c>
      <c r="F459" s="4" t="str">
        <f>IFERROR(VLOOKUP(E459,'Code Lists'!$D:$E,2,FALSE),"")</f>
        <v/>
      </c>
      <c r="H459" s="4" t="str">
        <f>IFERROR(VLOOKUP(G459,'Code Lists'!$G:$H,2,FALSE),"")</f>
        <v/>
      </c>
      <c r="J459" s="10"/>
      <c r="M459" s="11"/>
      <c r="Q459" s="7" t="str">
        <f>IF(VedAarnaSKUMaster[[#This Row],[HSN/SAC Code]]=998822,5%,IF(VedAarnaSKUMaster[[#This Row],[HSN/SAC Code]]=998391,18%,IF(VedAarnaSKUMaster[[#This Row],[HSN/SAC Code]]=998723,5%,"")))</f>
        <v/>
      </c>
      <c r="R459" s="5" t="str">
        <f t="shared" si="85"/>
        <v/>
      </c>
      <c r="S459" s="5" t="str">
        <f t="shared" si="86"/>
        <v/>
      </c>
      <c r="T459" s="11"/>
      <c r="U459" s="8" t="str">
        <f>IF(OR(VedAarnaSKUMaster[[#This Row],[Selling Price]]="",VedAarnaSKUMaster[[#This Row],[Selling Price]]=0),"",CEILING(VedAarnaSKUMaster[[#This Row],[Selling Price]]/(1-20%),100)-1)</f>
        <v/>
      </c>
      <c r="V459">
        <f t="shared" si="96"/>
        <v>0</v>
      </c>
      <c r="W459" s="8"/>
      <c r="Z459" s="6" t="str">
        <f t="shared" si="87"/>
        <v/>
      </c>
      <c r="AA459" s="6" t="str">
        <f t="shared" si="88"/>
        <v/>
      </c>
      <c r="AB459" s="6" t="str">
        <f t="shared" si="89"/>
        <v/>
      </c>
      <c r="AC459" s="6" t="str">
        <f t="shared" si="90"/>
        <v/>
      </c>
      <c r="AD459" s="6" t="str">
        <f t="shared" si="91"/>
        <v/>
      </c>
      <c r="AE459" s="6" t="str">
        <f t="shared" si="92"/>
        <v/>
      </c>
      <c r="AF459" s="6" t="str">
        <f t="shared" si="93"/>
        <v/>
      </c>
      <c r="AG459" s="6" t="str">
        <f t="shared" si="94"/>
        <v/>
      </c>
      <c r="AH459" s="6" t="str">
        <f t="shared" si="95"/>
        <v/>
      </c>
    </row>
    <row r="460" spans="1:34">
      <c r="A460" s="9"/>
      <c r="C460" s="4" t="str">
        <f>IFERROR(VLOOKUP(B460,'Code Lists'!$A:$B,2,FALSE),"")</f>
        <v/>
      </c>
      <c r="F460" s="4" t="str">
        <f>IFERROR(VLOOKUP(E460,'Code Lists'!$D:$E,2,FALSE),"")</f>
        <v/>
      </c>
      <c r="H460" s="4" t="str">
        <f>IFERROR(VLOOKUP(G460,'Code Lists'!$G:$H,2,FALSE),"")</f>
        <v/>
      </c>
      <c r="J460" s="10"/>
      <c r="M460" s="11"/>
      <c r="Q460" s="7" t="str">
        <f>IF(VedAarnaSKUMaster[[#This Row],[HSN/SAC Code]]=998822,5%,IF(VedAarnaSKUMaster[[#This Row],[HSN/SAC Code]]=998391,18%,IF(VedAarnaSKUMaster[[#This Row],[HSN/SAC Code]]=998723,5%,"")))</f>
        <v/>
      </c>
      <c r="R460" s="5" t="str">
        <f t="shared" si="85"/>
        <v/>
      </c>
      <c r="S460" s="5" t="str">
        <f t="shared" si="86"/>
        <v/>
      </c>
      <c r="T460" s="11"/>
      <c r="U460" s="8" t="str">
        <f>IF(OR(VedAarnaSKUMaster[[#This Row],[Selling Price]]="",VedAarnaSKUMaster[[#This Row],[Selling Price]]=0),"",CEILING(VedAarnaSKUMaster[[#This Row],[Selling Price]]/(1-20%),100)-1)</f>
        <v/>
      </c>
      <c r="V460">
        <f t="shared" si="96"/>
        <v>0</v>
      </c>
      <c r="W460" s="8"/>
      <c r="Z460" s="6" t="str">
        <f t="shared" si="87"/>
        <v/>
      </c>
      <c r="AA460" s="6" t="str">
        <f t="shared" si="88"/>
        <v/>
      </c>
      <c r="AB460" s="6" t="str">
        <f t="shared" si="89"/>
        <v/>
      </c>
      <c r="AC460" s="6" t="str">
        <f t="shared" si="90"/>
        <v/>
      </c>
      <c r="AD460" s="6" t="str">
        <f t="shared" si="91"/>
        <v/>
      </c>
      <c r="AE460" s="6" t="str">
        <f t="shared" si="92"/>
        <v/>
      </c>
      <c r="AF460" s="6" t="str">
        <f t="shared" si="93"/>
        <v/>
      </c>
      <c r="AG460" s="6" t="str">
        <f t="shared" si="94"/>
        <v/>
      </c>
      <c r="AH460" s="6" t="str">
        <f t="shared" si="95"/>
        <v/>
      </c>
    </row>
    <row r="461" spans="1:34">
      <c r="A461" s="9"/>
      <c r="C461" s="4" t="str">
        <f>IFERROR(VLOOKUP(B461,'Code Lists'!$A:$B,2,FALSE),"")</f>
        <v/>
      </c>
      <c r="F461" s="4" t="str">
        <f>IFERROR(VLOOKUP(E461,'Code Lists'!$D:$E,2,FALSE),"")</f>
        <v/>
      </c>
      <c r="H461" s="4" t="str">
        <f>IFERROR(VLOOKUP(G461,'Code Lists'!$G:$H,2,FALSE),"")</f>
        <v/>
      </c>
      <c r="J461" s="10"/>
      <c r="M461" s="11"/>
      <c r="Q461" s="7" t="str">
        <f>IF(VedAarnaSKUMaster[[#This Row],[HSN/SAC Code]]=998822,5%,IF(VedAarnaSKUMaster[[#This Row],[HSN/SAC Code]]=998391,18%,IF(VedAarnaSKUMaster[[#This Row],[HSN/SAC Code]]=998723,5%,"")))</f>
        <v/>
      </c>
      <c r="R461" s="5" t="str">
        <f t="shared" si="85"/>
        <v/>
      </c>
      <c r="S461" s="5" t="str">
        <f t="shared" si="86"/>
        <v/>
      </c>
      <c r="T461" s="11"/>
      <c r="U461" s="8" t="str">
        <f>IF(OR(VedAarnaSKUMaster[[#This Row],[Selling Price]]="",VedAarnaSKUMaster[[#This Row],[Selling Price]]=0),"",CEILING(VedAarnaSKUMaster[[#This Row],[Selling Price]]/(1-20%),100)-1)</f>
        <v/>
      </c>
      <c r="V461">
        <f t="shared" si="96"/>
        <v>0</v>
      </c>
      <c r="W461" s="8"/>
      <c r="Z461" s="6" t="str">
        <f t="shared" si="87"/>
        <v/>
      </c>
      <c r="AA461" s="6" t="str">
        <f t="shared" si="88"/>
        <v/>
      </c>
      <c r="AB461" s="6" t="str">
        <f t="shared" si="89"/>
        <v/>
      </c>
      <c r="AC461" s="6" t="str">
        <f t="shared" si="90"/>
        <v/>
      </c>
      <c r="AD461" s="6" t="str">
        <f t="shared" si="91"/>
        <v/>
      </c>
      <c r="AE461" s="6" t="str">
        <f t="shared" si="92"/>
        <v/>
      </c>
      <c r="AF461" s="6" t="str">
        <f t="shared" si="93"/>
        <v/>
      </c>
      <c r="AG461" s="6" t="str">
        <f t="shared" si="94"/>
        <v/>
      </c>
      <c r="AH461" s="6" t="str">
        <f t="shared" si="95"/>
        <v/>
      </c>
    </row>
    <row r="462" spans="1:34">
      <c r="A462" s="9"/>
      <c r="C462" s="4" t="str">
        <f>IFERROR(VLOOKUP(B462,'Code Lists'!$A:$B,2,FALSE),"")</f>
        <v/>
      </c>
      <c r="F462" s="4" t="str">
        <f>IFERROR(VLOOKUP(E462,'Code Lists'!$D:$E,2,FALSE),"")</f>
        <v/>
      </c>
      <c r="H462" s="4" t="str">
        <f>IFERROR(VLOOKUP(G462,'Code Lists'!$G:$H,2,FALSE),"")</f>
        <v/>
      </c>
      <c r="J462" s="10"/>
      <c r="M462" s="11"/>
      <c r="Q462" s="7" t="str">
        <f>IF(VedAarnaSKUMaster[[#This Row],[HSN/SAC Code]]=998822,5%,IF(VedAarnaSKUMaster[[#This Row],[HSN/SAC Code]]=998391,18%,IF(VedAarnaSKUMaster[[#This Row],[HSN/SAC Code]]=998723,5%,"")))</f>
        <v/>
      </c>
      <c r="R462" s="5" t="str">
        <f t="shared" si="85"/>
        <v/>
      </c>
      <c r="S462" s="5" t="str">
        <f t="shared" si="86"/>
        <v/>
      </c>
      <c r="T462" s="11"/>
      <c r="U462" s="8" t="str">
        <f>IF(OR(VedAarnaSKUMaster[[#This Row],[Selling Price]]="",VedAarnaSKUMaster[[#This Row],[Selling Price]]=0),"",CEILING(VedAarnaSKUMaster[[#This Row],[Selling Price]]/(1-20%),100)-1)</f>
        <v/>
      </c>
      <c r="V462">
        <f t="shared" si="96"/>
        <v>0</v>
      </c>
      <c r="W462" s="8"/>
      <c r="Z462" s="6" t="str">
        <f t="shared" si="87"/>
        <v/>
      </c>
      <c r="AA462" s="6" t="str">
        <f t="shared" si="88"/>
        <v/>
      </c>
      <c r="AB462" s="6" t="str">
        <f t="shared" si="89"/>
        <v/>
      </c>
      <c r="AC462" s="6" t="str">
        <f t="shared" si="90"/>
        <v/>
      </c>
      <c r="AD462" s="6" t="str">
        <f t="shared" si="91"/>
        <v/>
      </c>
      <c r="AE462" s="6" t="str">
        <f t="shared" si="92"/>
        <v/>
      </c>
      <c r="AF462" s="6" t="str">
        <f t="shared" si="93"/>
        <v/>
      </c>
      <c r="AG462" s="6" t="str">
        <f t="shared" si="94"/>
        <v/>
      </c>
      <c r="AH462" s="6" t="str">
        <f t="shared" si="95"/>
        <v/>
      </c>
    </row>
    <row r="463" spans="1:34">
      <c r="A463" s="9"/>
      <c r="C463" s="4" t="str">
        <f>IFERROR(VLOOKUP(B463,'Code Lists'!$A:$B,2,FALSE),"")</f>
        <v/>
      </c>
      <c r="F463" s="4" t="str">
        <f>IFERROR(VLOOKUP(E463,'Code Lists'!$D:$E,2,FALSE),"")</f>
        <v/>
      </c>
      <c r="H463" s="4" t="str">
        <f>IFERROR(VLOOKUP(G463,'Code Lists'!$G:$H,2,FALSE),"")</f>
        <v/>
      </c>
      <c r="J463" s="10"/>
      <c r="M463" s="11"/>
      <c r="Q463" s="7" t="str">
        <f>IF(VedAarnaSKUMaster[[#This Row],[HSN/SAC Code]]=998822,5%,IF(VedAarnaSKUMaster[[#This Row],[HSN/SAC Code]]=998391,18%,IF(VedAarnaSKUMaster[[#This Row],[HSN/SAC Code]]=998723,5%,"")))</f>
        <v/>
      </c>
      <c r="R463" s="5" t="str">
        <f t="shared" si="85"/>
        <v/>
      </c>
      <c r="S463" s="5" t="str">
        <f t="shared" si="86"/>
        <v/>
      </c>
      <c r="T463" s="11"/>
      <c r="U463" s="8" t="str">
        <f>IF(OR(VedAarnaSKUMaster[[#This Row],[Selling Price]]="",VedAarnaSKUMaster[[#This Row],[Selling Price]]=0),"",CEILING(VedAarnaSKUMaster[[#This Row],[Selling Price]]/(1-20%),100)-1)</f>
        <v/>
      </c>
      <c r="V463">
        <f t="shared" si="96"/>
        <v>0</v>
      </c>
      <c r="W463" s="8"/>
      <c r="Z463" s="6" t="str">
        <f t="shared" si="87"/>
        <v/>
      </c>
      <c r="AA463" s="6" t="str">
        <f t="shared" si="88"/>
        <v/>
      </c>
      <c r="AB463" s="6" t="str">
        <f t="shared" si="89"/>
        <v/>
      </c>
      <c r="AC463" s="6" t="str">
        <f t="shared" si="90"/>
        <v/>
      </c>
      <c r="AD463" s="6" t="str">
        <f t="shared" si="91"/>
        <v/>
      </c>
      <c r="AE463" s="6" t="str">
        <f t="shared" si="92"/>
        <v/>
      </c>
      <c r="AF463" s="6" t="str">
        <f t="shared" si="93"/>
        <v/>
      </c>
      <c r="AG463" s="6" t="str">
        <f t="shared" si="94"/>
        <v/>
      </c>
      <c r="AH463" s="6" t="str">
        <f t="shared" si="95"/>
        <v/>
      </c>
    </row>
    <row r="464" spans="1:34">
      <c r="A464" s="9"/>
      <c r="C464" s="4" t="str">
        <f>IFERROR(VLOOKUP(B464,'Code Lists'!$A:$B,2,FALSE),"")</f>
        <v/>
      </c>
      <c r="F464" s="4" t="str">
        <f>IFERROR(VLOOKUP(E464,'Code Lists'!$D:$E,2,FALSE),"")</f>
        <v/>
      </c>
      <c r="H464" s="4" t="str">
        <f>IFERROR(VLOOKUP(G464,'Code Lists'!$G:$H,2,FALSE),"")</f>
        <v/>
      </c>
      <c r="J464" s="10"/>
      <c r="M464" s="11"/>
      <c r="Q464" s="7" t="str">
        <f>IF(VedAarnaSKUMaster[[#This Row],[HSN/SAC Code]]=998822,5%,IF(VedAarnaSKUMaster[[#This Row],[HSN/SAC Code]]=998391,18%,IF(VedAarnaSKUMaster[[#This Row],[HSN/SAC Code]]=998723,5%,"")))</f>
        <v/>
      </c>
      <c r="R464" s="5" t="str">
        <f t="shared" si="85"/>
        <v/>
      </c>
      <c r="S464" s="5" t="str">
        <f t="shared" si="86"/>
        <v/>
      </c>
      <c r="T464" s="11"/>
      <c r="U464" s="8" t="str">
        <f>IF(OR(VedAarnaSKUMaster[[#This Row],[Selling Price]]="",VedAarnaSKUMaster[[#This Row],[Selling Price]]=0),"",CEILING(VedAarnaSKUMaster[[#This Row],[Selling Price]]/(1-20%),100)-1)</f>
        <v/>
      </c>
      <c r="V464">
        <f t="shared" si="96"/>
        <v>0</v>
      </c>
      <c r="W464" s="8"/>
      <c r="Z464" s="6" t="str">
        <f t="shared" si="87"/>
        <v/>
      </c>
      <c r="AA464" s="6" t="str">
        <f t="shared" si="88"/>
        <v/>
      </c>
      <c r="AB464" s="6" t="str">
        <f t="shared" si="89"/>
        <v/>
      </c>
      <c r="AC464" s="6" t="str">
        <f t="shared" si="90"/>
        <v/>
      </c>
      <c r="AD464" s="6" t="str">
        <f t="shared" si="91"/>
        <v/>
      </c>
      <c r="AE464" s="6" t="str">
        <f t="shared" si="92"/>
        <v/>
      </c>
      <c r="AF464" s="6" t="str">
        <f t="shared" si="93"/>
        <v/>
      </c>
      <c r="AG464" s="6" t="str">
        <f t="shared" si="94"/>
        <v/>
      </c>
      <c r="AH464" s="6" t="str">
        <f t="shared" si="95"/>
        <v/>
      </c>
    </row>
    <row r="465" spans="1:34">
      <c r="A465" s="9"/>
      <c r="C465" s="4" t="str">
        <f>IFERROR(VLOOKUP(B465,'Code Lists'!$A:$B,2,FALSE),"")</f>
        <v/>
      </c>
      <c r="F465" s="4" t="str">
        <f>IFERROR(VLOOKUP(E465,'Code Lists'!$D:$E,2,FALSE),"")</f>
        <v/>
      </c>
      <c r="H465" s="4" t="str">
        <f>IFERROR(VLOOKUP(G465,'Code Lists'!$G:$H,2,FALSE),"")</f>
        <v/>
      </c>
      <c r="J465" s="10"/>
      <c r="M465" s="11"/>
      <c r="Q465" s="7" t="str">
        <f>IF(VedAarnaSKUMaster[[#This Row],[HSN/SAC Code]]=998822,5%,IF(VedAarnaSKUMaster[[#This Row],[HSN/SAC Code]]=998391,18%,IF(VedAarnaSKUMaster[[#This Row],[HSN/SAC Code]]=998723,5%,"")))</f>
        <v/>
      </c>
      <c r="R465" s="5" t="str">
        <f t="shared" si="85"/>
        <v/>
      </c>
      <c r="S465" s="5" t="str">
        <f t="shared" si="86"/>
        <v/>
      </c>
      <c r="T465" s="11"/>
      <c r="U465" s="8" t="str">
        <f>IF(OR(VedAarnaSKUMaster[[#This Row],[Selling Price]]="",VedAarnaSKUMaster[[#This Row],[Selling Price]]=0),"",CEILING(VedAarnaSKUMaster[[#This Row],[Selling Price]]/(1-20%),100)-1)</f>
        <v/>
      </c>
      <c r="V465">
        <f t="shared" si="96"/>
        <v>0</v>
      </c>
      <c r="W465" s="8"/>
      <c r="Z465" s="6" t="str">
        <f t="shared" si="87"/>
        <v/>
      </c>
      <c r="AA465" s="6" t="str">
        <f t="shared" si="88"/>
        <v/>
      </c>
      <c r="AB465" s="6" t="str">
        <f t="shared" si="89"/>
        <v/>
      </c>
      <c r="AC465" s="6" t="str">
        <f t="shared" si="90"/>
        <v/>
      </c>
      <c r="AD465" s="6" t="str">
        <f t="shared" si="91"/>
        <v/>
      </c>
      <c r="AE465" s="6" t="str">
        <f t="shared" si="92"/>
        <v/>
      </c>
      <c r="AF465" s="6" t="str">
        <f t="shared" si="93"/>
        <v/>
      </c>
      <c r="AG465" s="6" t="str">
        <f t="shared" si="94"/>
        <v/>
      </c>
      <c r="AH465" s="6" t="str">
        <f t="shared" si="95"/>
        <v/>
      </c>
    </row>
    <row r="466" spans="1:34">
      <c r="A466" s="9"/>
      <c r="C466" s="4" t="str">
        <f>IFERROR(VLOOKUP(B466,'Code Lists'!$A:$B,2,FALSE),"")</f>
        <v/>
      </c>
      <c r="F466" s="4" t="str">
        <f>IFERROR(VLOOKUP(E466,'Code Lists'!$D:$E,2,FALSE),"")</f>
        <v/>
      </c>
      <c r="H466" s="4" t="str">
        <f>IFERROR(VLOOKUP(G466,'Code Lists'!$G:$H,2,FALSE),"")</f>
        <v/>
      </c>
      <c r="J466" s="10"/>
      <c r="M466" s="11"/>
      <c r="Q466" s="7" t="str">
        <f>IF(VedAarnaSKUMaster[[#This Row],[HSN/SAC Code]]=998822,5%,IF(VedAarnaSKUMaster[[#This Row],[HSN/SAC Code]]=998391,18%,IF(VedAarnaSKUMaster[[#This Row],[HSN/SAC Code]]=998723,5%,"")))</f>
        <v/>
      </c>
      <c r="R466" s="5" t="str">
        <f t="shared" si="85"/>
        <v/>
      </c>
      <c r="S466" s="5" t="str">
        <f t="shared" si="86"/>
        <v/>
      </c>
      <c r="T466" s="11"/>
      <c r="U466" s="8" t="str">
        <f>IF(OR(VedAarnaSKUMaster[[#This Row],[Selling Price]]="",VedAarnaSKUMaster[[#This Row],[Selling Price]]=0),"",CEILING(VedAarnaSKUMaster[[#This Row],[Selling Price]]/(1-20%),100)-1)</f>
        <v/>
      </c>
      <c r="V466">
        <f t="shared" si="96"/>
        <v>0</v>
      </c>
      <c r="W466" s="8"/>
      <c r="Z466" s="6" t="str">
        <f t="shared" si="87"/>
        <v/>
      </c>
      <c r="AA466" s="6" t="str">
        <f t="shared" si="88"/>
        <v/>
      </c>
      <c r="AB466" s="6" t="str">
        <f t="shared" si="89"/>
        <v/>
      </c>
      <c r="AC466" s="6" t="str">
        <f t="shared" si="90"/>
        <v/>
      </c>
      <c r="AD466" s="6" t="str">
        <f t="shared" si="91"/>
        <v/>
      </c>
      <c r="AE466" s="6" t="str">
        <f t="shared" si="92"/>
        <v/>
      </c>
      <c r="AF466" s="6" t="str">
        <f t="shared" si="93"/>
        <v/>
      </c>
      <c r="AG466" s="6" t="str">
        <f t="shared" si="94"/>
        <v/>
      </c>
      <c r="AH466" s="6" t="str">
        <f t="shared" si="95"/>
        <v/>
      </c>
    </row>
    <row r="467" spans="1:34">
      <c r="A467" s="9"/>
      <c r="C467" s="4" t="str">
        <f>IFERROR(VLOOKUP(B467,'Code Lists'!$A:$B,2,FALSE),"")</f>
        <v/>
      </c>
      <c r="F467" s="4" t="str">
        <f>IFERROR(VLOOKUP(E467,'Code Lists'!$D:$E,2,FALSE),"")</f>
        <v/>
      </c>
      <c r="H467" s="4" t="str">
        <f>IFERROR(VLOOKUP(G467,'Code Lists'!$G:$H,2,FALSE),"")</f>
        <v/>
      </c>
      <c r="J467" s="10"/>
      <c r="M467" s="11"/>
      <c r="Q467" s="7" t="str">
        <f>IF(VedAarnaSKUMaster[[#This Row],[HSN/SAC Code]]=998822,5%,IF(VedAarnaSKUMaster[[#This Row],[HSN/SAC Code]]=998391,18%,IF(VedAarnaSKUMaster[[#This Row],[HSN/SAC Code]]=998723,5%,"")))</f>
        <v/>
      </c>
      <c r="R467" s="5" t="str">
        <f t="shared" si="85"/>
        <v/>
      </c>
      <c r="S467" s="5" t="str">
        <f t="shared" si="86"/>
        <v/>
      </c>
      <c r="T467" s="11"/>
      <c r="U467" s="8" t="str">
        <f>IF(OR(VedAarnaSKUMaster[[#This Row],[Selling Price]]="",VedAarnaSKUMaster[[#This Row],[Selling Price]]=0),"",CEILING(VedAarnaSKUMaster[[#This Row],[Selling Price]]/(1-20%),100)-1)</f>
        <v/>
      </c>
      <c r="V467">
        <f t="shared" si="96"/>
        <v>0</v>
      </c>
      <c r="W467" s="8"/>
      <c r="Z467" s="6" t="str">
        <f t="shared" si="87"/>
        <v/>
      </c>
      <c r="AA467" s="6" t="str">
        <f t="shared" si="88"/>
        <v/>
      </c>
      <c r="AB467" s="6" t="str">
        <f t="shared" si="89"/>
        <v/>
      </c>
      <c r="AC467" s="6" t="str">
        <f t="shared" si="90"/>
        <v/>
      </c>
      <c r="AD467" s="6" t="str">
        <f t="shared" si="91"/>
        <v/>
      </c>
      <c r="AE467" s="6" t="str">
        <f t="shared" si="92"/>
        <v/>
      </c>
      <c r="AF467" s="6" t="str">
        <f t="shared" si="93"/>
        <v/>
      </c>
      <c r="AG467" s="6" t="str">
        <f t="shared" si="94"/>
        <v/>
      </c>
      <c r="AH467" s="6" t="str">
        <f t="shared" si="95"/>
        <v/>
      </c>
    </row>
    <row r="468" spans="1:34">
      <c r="A468" s="9"/>
      <c r="C468" s="4" t="str">
        <f>IFERROR(VLOOKUP(B468,'Code Lists'!$A:$B,2,FALSE),"")</f>
        <v/>
      </c>
      <c r="F468" s="4" t="str">
        <f>IFERROR(VLOOKUP(E468,'Code Lists'!$D:$E,2,FALSE),"")</f>
        <v/>
      </c>
      <c r="H468" s="4" t="str">
        <f>IFERROR(VLOOKUP(G468,'Code Lists'!$G:$H,2,FALSE),"")</f>
        <v/>
      </c>
      <c r="J468" s="10"/>
      <c r="M468" s="11"/>
      <c r="Q468" s="7" t="str">
        <f>IF(VedAarnaSKUMaster[[#This Row],[HSN/SAC Code]]=998822,5%,IF(VedAarnaSKUMaster[[#This Row],[HSN/SAC Code]]=998391,18%,IF(VedAarnaSKUMaster[[#This Row],[HSN/SAC Code]]=998723,5%,"")))</f>
        <v/>
      </c>
      <c r="R468" s="5" t="str">
        <f t="shared" si="85"/>
        <v/>
      </c>
      <c r="S468" s="5" t="str">
        <f t="shared" si="86"/>
        <v/>
      </c>
      <c r="T468" s="11"/>
      <c r="U468" s="8" t="str">
        <f>IF(OR(VedAarnaSKUMaster[[#This Row],[Selling Price]]="",VedAarnaSKUMaster[[#This Row],[Selling Price]]=0),"",CEILING(VedAarnaSKUMaster[[#This Row],[Selling Price]]/(1-20%),100)-1)</f>
        <v/>
      </c>
      <c r="V468">
        <f t="shared" si="96"/>
        <v>0</v>
      </c>
      <c r="W468" s="8"/>
      <c r="Z468" s="6" t="str">
        <f t="shared" si="87"/>
        <v/>
      </c>
      <c r="AA468" s="6" t="str">
        <f t="shared" si="88"/>
        <v/>
      </c>
      <c r="AB468" s="6" t="str">
        <f t="shared" si="89"/>
        <v/>
      </c>
      <c r="AC468" s="6" t="str">
        <f t="shared" si="90"/>
        <v/>
      </c>
      <c r="AD468" s="6" t="str">
        <f t="shared" si="91"/>
        <v/>
      </c>
      <c r="AE468" s="6" t="str">
        <f t="shared" si="92"/>
        <v/>
      </c>
      <c r="AF468" s="6" t="str">
        <f t="shared" si="93"/>
        <v/>
      </c>
      <c r="AG468" s="6" t="str">
        <f t="shared" si="94"/>
        <v/>
      </c>
      <c r="AH468" s="6" t="str">
        <f t="shared" si="95"/>
        <v/>
      </c>
    </row>
    <row r="469" spans="1:34">
      <c r="A469" s="9"/>
      <c r="C469" s="4" t="str">
        <f>IFERROR(VLOOKUP(B469,'Code Lists'!$A:$B,2,FALSE),"")</f>
        <v/>
      </c>
      <c r="F469" s="4" t="str">
        <f>IFERROR(VLOOKUP(E469,'Code Lists'!$D:$E,2,FALSE),"")</f>
        <v/>
      </c>
      <c r="H469" s="4" t="str">
        <f>IFERROR(VLOOKUP(G469,'Code Lists'!$G:$H,2,FALSE),"")</f>
        <v/>
      </c>
      <c r="J469" s="10"/>
      <c r="M469" s="11"/>
      <c r="Q469" s="7" t="str">
        <f>IF(VedAarnaSKUMaster[[#This Row],[HSN/SAC Code]]=998822,5%,IF(VedAarnaSKUMaster[[#This Row],[HSN/SAC Code]]=998391,18%,IF(VedAarnaSKUMaster[[#This Row],[HSN/SAC Code]]=998723,5%,"")))</f>
        <v/>
      </c>
      <c r="R469" s="5" t="str">
        <f t="shared" si="85"/>
        <v/>
      </c>
      <c r="S469" s="5" t="str">
        <f t="shared" si="86"/>
        <v/>
      </c>
      <c r="T469" s="11"/>
      <c r="U469" s="8" t="str">
        <f>IF(OR(VedAarnaSKUMaster[[#This Row],[Selling Price]]="",VedAarnaSKUMaster[[#This Row],[Selling Price]]=0),"",CEILING(VedAarnaSKUMaster[[#This Row],[Selling Price]]/(1-20%),100)-1)</f>
        <v/>
      </c>
      <c r="V469">
        <f t="shared" si="96"/>
        <v>0</v>
      </c>
      <c r="W469" s="8"/>
      <c r="Z469" s="6" t="str">
        <f t="shared" si="87"/>
        <v/>
      </c>
      <c r="AA469" s="6" t="str">
        <f t="shared" si="88"/>
        <v/>
      </c>
      <c r="AB469" s="6" t="str">
        <f t="shared" si="89"/>
        <v/>
      </c>
      <c r="AC469" s="6" t="str">
        <f t="shared" si="90"/>
        <v/>
      </c>
      <c r="AD469" s="6" t="str">
        <f t="shared" si="91"/>
        <v/>
      </c>
      <c r="AE469" s="6" t="str">
        <f t="shared" si="92"/>
        <v/>
      </c>
      <c r="AF469" s="6" t="str">
        <f t="shared" si="93"/>
        <v/>
      </c>
      <c r="AG469" s="6" t="str">
        <f t="shared" si="94"/>
        <v/>
      </c>
      <c r="AH469" s="6" t="str">
        <f t="shared" si="95"/>
        <v/>
      </c>
    </row>
    <row r="470" spans="1:34">
      <c r="A470" s="9"/>
      <c r="C470" s="4" t="str">
        <f>IFERROR(VLOOKUP(B470,'Code Lists'!$A:$B,2,FALSE),"")</f>
        <v/>
      </c>
      <c r="F470" s="4" t="str">
        <f>IFERROR(VLOOKUP(E470,'Code Lists'!$D:$E,2,FALSE),"")</f>
        <v/>
      </c>
      <c r="H470" s="4" t="str">
        <f>IFERROR(VLOOKUP(G470,'Code Lists'!$G:$H,2,FALSE),"")</f>
        <v/>
      </c>
      <c r="J470" s="10"/>
      <c r="M470" s="11"/>
      <c r="Q470" s="7" t="str">
        <f>IF(VedAarnaSKUMaster[[#This Row],[HSN/SAC Code]]=998822,5%,IF(VedAarnaSKUMaster[[#This Row],[HSN/SAC Code]]=998391,18%,IF(VedAarnaSKUMaster[[#This Row],[HSN/SAC Code]]=998723,5%,"")))</f>
        <v/>
      </c>
      <c r="R470" s="5" t="str">
        <f t="shared" si="85"/>
        <v/>
      </c>
      <c r="S470" s="5" t="str">
        <f t="shared" si="86"/>
        <v/>
      </c>
      <c r="T470" s="11"/>
      <c r="U470" s="8" t="str">
        <f>IF(OR(VedAarnaSKUMaster[[#This Row],[Selling Price]]="",VedAarnaSKUMaster[[#This Row],[Selling Price]]=0),"",CEILING(VedAarnaSKUMaster[[#This Row],[Selling Price]]/(1-20%),100)-1)</f>
        <v/>
      </c>
      <c r="V470">
        <f t="shared" si="96"/>
        <v>0</v>
      </c>
      <c r="W470" s="8"/>
      <c r="Z470" s="6" t="str">
        <f t="shared" si="87"/>
        <v/>
      </c>
      <c r="AA470" s="6" t="str">
        <f t="shared" si="88"/>
        <v/>
      </c>
      <c r="AB470" s="6" t="str">
        <f t="shared" si="89"/>
        <v/>
      </c>
      <c r="AC470" s="6" t="str">
        <f t="shared" si="90"/>
        <v/>
      </c>
      <c r="AD470" s="6" t="str">
        <f t="shared" si="91"/>
        <v/>
      </c>
      <c r="AE470" s="6" t="str">
        <f t="shared" si="92"/>
        <v/>
      </c>
      <c r="AF470" s="6" t="str">
        <f t="shared" si="93"/>
        <v/>
      </c>
      <c r="AG470" s="6" t="str">
        <f t="shared" si="94"/>
        <v/>
      </c>
      <c r="AH470" s="6" t="str">
        <f t="shared" si="95"/>
        <v/>
      </c>
    </row>
    <row r="471" spans="1:34">
      <c r="A471" s="9"/>
      <c r="C471" s="4" t="str">
        <f>IFERROR(VLOOKUP(B471,'Code Lists'!$A:$B,2,FALSE),"")</f>
        <v/>
      </c>
      <c r="F471" s="4" t="str">
        <f>IFERROR(VLOOKUP(E471,'Code Lists'!$D:$E,2,FALSE),"")</f>
        <v/>
      </c>
      <c r="H471" s="4" t="str">
        <f>IFERROR(VLOOKUP(G471,'Code Lists'!$G:$H,2,FALSE),"")</f>
        <v/>
      </c>
      <c r="J471" s="10"/>
      <c r="M471" s="11"/>
      <c r="Q471" s="7" t="str">
        <f>IF(VedAarnaSKUMaster[[#This Row],[HSN/SAC Code]]=998822,5%,IF(VedAarnaSKUMaster[[#This Row],[HSN/SAC Code]]=998391,18%,IF(VedAarnaSKUMaster[[#This Row],[HSN/SAC Code]]=998723,5%,"")))</f>
        <v/>
      </c>
      <c r="R471" s="5" t="str">
        <f t="shared" si="85"/>
        <v/>
      </c>
      <c r="S471" s="5" t="str">
        <f t="shared" si="86"/>
        <v/>
      </c>
      <c r="T471" s="11"/>
      <c r="U471" s="8" t="str">
        <f>IF(OR(VedAarnaSKUMaster[[#This Row],[Selling Price]]="",VedAarnaSKUMaster[[#This Row],[Selling Price]]=0),"",CEILING(VedAarnaSKUMaster[[#This Row],[Selling Price]]/(1-20%),100)-1)</f>
        <v/>
      </c>
      <c r="V471">
        <f t="shared" si="96"/>
        <v>0</v>
      </c>
      <c r="W471" s="8"/>
      <c r="Z471" s="6" t="str">
        <f t="shared" si="87"/>
        <v/>
      </c>
      <c r="AA471" s="6" t="str">
        <f t="shared" si="88"/>
        <v/>
      </c>
      <c r="AB471" s="6" t="str">
        <f t="shared" si="89"/>
        <v/>
      </c>
      <c r="AC471" s="6" t="str">
        <f t="shared" si="90"/>
        <v/>
      </c>
      <c r="AD471" s="6" t="str">
        <f t="shared" si="91"/>
        <v/>
      </c>
      <c r="AE471" s="6" t="str">
        <f t="shared" si="92"/>
        <v/>
      </c>
      <c r="AF471" s="6" t="str">
        <f t="shared" si="93"/>
        <v/>
      </c>
      <c r="AG471" s="6" t="str">
        <f t="shared" si="94"/>
        <v/>
      </c>
      <c r="AH471" s="6" t="str">
        <f t="shared" si="95"/>
        <v/>
      </c>
    </row>
    <row r="472" spans="1:34">
      <c r="A472" s="9"/>
      <c r="C472" s="4" t="str">
        <f>IFERROR(VLOOKUP(B472,'Code Lists'!$A:$B,2,FALSE),"")</f>
        <v/>
      </c>
      <c r="F472" s="4" t="str">
        <f>IFERROR(VLOOKUP(E472,'Code Lists'!$D:$E,2,FALSE),"")</f>
        <v/>
      </c>
      <c r="H472" s="4" t="str">
        <f>IFERROR(VLOOKUP(G472,'Code Lists'!$G:$H,2,FALSE),"")</f>
        <v/>
      </c>
      <c r="J472" s="10"/>
      <c r="M472" s="11"/>
      <c r="Q472" s="7" t="str">
        <f>IF(VedAarnaSKUMaster[[#This Row],[HSN/SAC Code]]=998822,5%,IF(VedAarnaSKUMaster[[#This Row],[HSN/SAC Code]]=998391,18%,IF(VedAarnaSKUMaster[[#This Row],[HSN/SAC Code]]=998723,5%,"")))</f>
        <v/>
      </c>
      <c r="R472" s="5" t="str">
        <f t="shared" si="85"/>
        <v/>
      </c>
      <c r="S472" s="5" t="str">
        <f t="shared" si="86"/>
        <v/>
      </c>
      <c r="T472" s="11"/>
      <c r="U472" s="8" t="str">
        <f>IF(OR(VedAarnaSKUMaster[[#This Row],[Selling Price]]="",VedAarnaSKUMaster[[#This Row],[Selling Price]]=0),"",CEILING(VedAarnaSKUMaster[[#This Row],[Selling Price]]/(1-20%),100)-1)</f>
        <v/>
      </c>
      <c r="V472">
        <f t="shared" si="96"/>
        <v>0</v>
      </c>
      <c r="W472" s="8"/>
      <c r="Z472" s="6" t="str">
        <f t="shared" si="87"/>
        <v/>
      </c>
      <c r="AA472" s="6" t="str">
        <f t="shared" si="88"/>
        <v/>
      </c>
      <c r="AB472" s="6" t="str">
        <f t="shared" si="89"/>
        <v/>
      </c>
      <c r="AC472" s="6" t="str">
        <f t="shared" si="90"/>
        <v/>
      </c>
      <c r="AD472" s="6" t="str">
        <f t="shared" si="91"/>
        <v/>
      </c>
      <c r="AE472" s="6" t="str">
        <f t="shared" si="92"/>
        <v/>
      </c>
      <c r="AF472" s="6" t="str">
        <f t="shared" si="93"/>
        <v/>
      </c>
      <c r="AG472" s="6" t="str">
        <f t="shared" si="94"/>
        <v/>
      </c>
      <c r="AH472" s="6" t="str">
        <f t="shared" si="95"/>
        <v/>
      </c>
    </row>
    <row r="473" spans="1:34">
      <c r="A473" s="9"/>
      <c r="C473" s="4" t="str">
        <f>IFERROR(VLOOKUP(B473,'Code Lists'!$A:$B,2,FALSE),"")</f>
        <v/>
      </c>
      <c r="F473" s="4" t="str">
        <f>IFERROR(VLOOKUP(E473,'Code Lists'!$D:$E,2,FALSE),"")</f>
        <v/>
      </c>
      <c r="H473" s="4" t="str">
        <f>IFERROR(VLOOKUP(G473,'Code Lists'!$G:$H,2,FALSE),"")</f>
        <v/>
      </c>
      <c r="J473" s="10"/>
      <c r="M473" s="11"/>
      <c r="Q473" s="7" t="str">
        <f>IF(VedAarnaSKUMaster[[#This Row],[HSN/SAC Code]]=998822,5%,IF(VedAarnaSKUMaster[[#This Row],[HSN/SAC Code]]=998391,18%,IF(VedAarnaSKUMaster[[#This Row],[HSN/SAC Code]]=998723,5%,"")))</f>
        <v/>
      </c>
      <c r="R473" s="5" t="str">
        <f t="shared" si="85"/>
        <v/>
      </c>
      <c r="S473" s="5" t="str">
        <f t="shared" si="86"/>
        <v/>
      </c>
      <c r="T473" s="11"/>
      <c r="U473" s="8" t="str">
        <f>IF(OR(VedAarnaSKUMaster[[#This Row],[Selling Price]]="",VedAarnaSKUMaster[[#This Row],[Selling Price]]=0),"",CEILING(VedAarnaSKUMaster[[#This Row],[Selling Price]]/(1-20%),100)-1)</f>
        <v/>
      </c>
      <c r="V473">
        <f t="shared" si="96"/>
        <v>0</v>
      </c>
      <c r="W473" s="8"/>
      <c r="Z473" s="6" t="str">
        <f t="shared" si="87"/>
        <v/>
      </c>
      <c r="AA473" s="6" t="str">
        <f t="shared" si="88"/>
        <v/>
      </c>
      <c r="AB473" s="6" t="str">
        <f t="shared" si="89"/>
        <v/>
      </c>
      <c r="AC473" s="6" t="str">
        <f t="shared" si="90"/>
        <v/>
      </c>
      <c r="AD473" s="6" t="str">
        <f t="shared" si="91"/>
        <v/>
      </c>
      <c r="AE473" s="6" t="str">
        <f t="shared" si="92"/>
        <v/>
      </c>
      <c r="AF473" s="6" t="str">
        <f t="shared" si="93"/>
        <v/>
      </c>
      <c r="AG473" s="6" t="str">
        <f t="shared" si="94"/>
        <v/>
      </c>
      <c r="AH473" s="6" t="str">
        <f t="shared" si="95"/>
        <v/>
      </c>
    </row>
    <row r="474" spans="1:34">
      <c r="A474" s="9"/>
      <c r="C474" s="4" t="str">
        <f>IFERROR(VLOOKUP(B474,'Code Lists'!$A:$B,2,FALSE),"")</f>
        <v/>
      </c>
      <c r="F474" s="4" t="str">
        <f>IFERROR(VLOOKUP(E474,'Code Lists'!$D:$E,2,FALSE),"")</f>
        <v/>
      </c>
      <c r="H474" s="4" t="str">
        <f>IFERROR(VLOOKUP(G474,'Code Lists'!$G:$H,2,FALSE),"")</f>
        <v/>
      </c>
      <c r="J474" s="10"/>
      <c r="M474" s="11"/>
      <c r="Q474" s="7" t="str">
        <f>IF(VedAarnaSKUMaster[[#This Row],[HSN/SAC Code]]=998822,5%,IF(VedAarnaSKUMaster[[#This Row],[HSN/SAC Code]]=998391,18%,IF(VedAarnaSKUMaster[[#This Row],[HSN/SAC Code]]=998723,5%,"")))</f>
        <v/>
      </c>
      <c r="R474" s="5" t="str">
        <f t="shared" si="85"/>
        <v/>
      </c>
      <c r="S474" s="5" t="str">
        <f t="shared" si="86"/>
        <v/>
      </c>
      <c r="T474" s="11"/>
      <c r="U474" s="8" t="str">
        <f>IF(OR(VedAarnaSKUMaster[[#This Row],[Selling Price]]="",VedAarnaSKUMaster[[#This Row],[Selling Price]]=0),"",CEILING(VedAarnaSKUMaster[[#This Row],[Selling Price]]/(1-20%),100)-1)</f>
        <v/>
      </c>
      <c r="V474">
        <f t="shared" si="96"/>
        <v>0</v>
      </c>
      <c r="W474" s="8"/>
      <c r="Z474" s="6" t="str">
        <f t="shared" si="87"/>
        <v/>
      </c>
      <c r="AA474" s="6" t="str">
        <f t="shared" si="88"/>
        <v/>
      </c>
      <c r="AB474" s="6" t="str">
        <f t="shared" si="89"/>
        <v/>
      </c>
      <c r="AC474" s="6" t="str">
        <f t="shared" si="90"/>
        <v/>
      </c>
      <c r="AD474" s="6" t="str">
        <f t="shared" si="91"/>
        <v/>
      </c>
      <c r="AE474" s="6" t="str">
        <f t="shared" si="92"/>
        <v/>
      </c>
      <c r="AF474" s="6" t="str">
        <f t="shared" si="93"/>
        <v/>
      </c>
      <c r="AG474" s="6" t="str">
        <f t="shared" si="94"/>
        <v/>
      </c>
      <c r="AH474" s="6" t="str">
        <f t="shared" si="95"/>
        <v/>
      </c>
    </row>
    <row r="475" spans="1:34">
      <c r="A475" s="9"/>
      <c r="C475" s="4" t="str">
        <f>IFERROR(VLOOKUP(B475,'Code Lists'!$A:$B,2,FALSE),"")</f>
        <v/>
      </c>
      <c r="F475" s="4" t="str">
        <f>IFERROR(VLOOKUP(E475,'Code Lists'!$D:$E,2,FALSE),"")</f>
        <v/>
      </c>
      <c r="H475" s="4" t="str">
        <f>IFERROR(VLOOKUP(G475,'Code Lists'!$G:$H,2,FALSE),"")</f>
        <v/>
      </c>
      <c r="J475" s="10"/>
      <c r="M475" s="11"/>
      <c r="Q475" s="7" t="str">
        <f>IF(VedAarnaSKUMaster[[#This Row],[HSN/SAC Code]]=998822,5%,IF(VedAarnaSKUMaster[[#This Row],[HSN/SAC Code]]=998391,18%,IF(VedAarnaSKUMaster[[#This Row],[HSN/SAC Code]]=998723,5%,"")))</f>
        <v/>
      </c>
      <c r="R475" s="5" t="str">
        <f t="shared" si="85"/>
        <v/>
      </c>
      <c r="S475" s="5" t="str">
        <f t="shared" si="86"/>
        <v/>
      </c>
      <c r="T475" s="11"/>
      <c r="U475" s="8" t="str">
        <f>IF(OR(VedAarnaSKUMaster[[#This Row],[Selling Price]]="",VedAarnaSKUMaster[[#This Row],[Selling Price]]=0),"",CEILING(VedAarnaSKUMaster[[#This Row],[Selling Price]]/(1-20%),100)-1)</f>
        <v/>
      </c>
      <c r="V475">
        <f t="shared" si="96"/>
        <v>0</v>
      </c>
      <c r="W475" s="8"/>
      <c r="Z475" s="6" t="str">
        <f t="shared" si="87"/>
        <v/>
      </c>
      <c r="AA475" s="6" t="str">
        <f t="shared" si="88"/>
        <v/>
      </c>
      <c r="AB475" s="6" t="str">
        <f t="shared" si="89"/>
        <v/>
      </c>
      <c r="AC475" s="6" t="str">
        <f t="shared" si="90"/>
        <v/>
      </c>
      <c r="AD475" s="6" t="str">
        <f t="shared" si="91"/>
        <v/>
      </c>
      <c r="AE475" s="6" t="str">
        <f t="shared" si="92"/>
        <v/>
      </c>
      <c r="AF475" s="6" t="str">
        <f t="shared" si="93"/>
        <v/>
      </c>
      <c r="AG475" s="6" t="str">
        <f t="shared" si="94"/>
        <v/>
      </c>
      <c r="AH475" s="6" t="str">
        <f t="shared" si="95"/>
        <v/>
      </c>
    </row>
    <row r="476" spans="1:34">
      <c r="A476" s="9"/>
      <c r="C476" s="4" t="str">
        <f>IFERROR(VLOOKUP(B476,'Code Lists'!$A:$B,2,FALSE),"")</f>
        <v/>
      </c>
      <c r="F476" s="4" t="str">
        <f>IFERROR(VLOOKUP(E476,'Code Lists'!$D:$E,2,FALSE),"")</f>
        <v/>
      </c>
      <c r="H476" s="4" t="str">
        <f>IFERROR(VLOOKUP(G476,'Code Lists'!$G:$H,2,FALSE),"")</f>
        <v/>
      </c>
      <c r="J476" s="10"/>
      <c r="M476" s="11"/>
      <c r="Q476" s="7" t="str">
        <f>IF(VedAarnaSKUMaster[[#This Row],[HSN/SAC Code]]=998822,5%,IF(VedAarnaSKUMaster[[#This Row],[HSN/SAC Code]]=998391,18%,IF(VedAarnaSKUMaster[[#This Row],[HSN/SAC Code]]=998723,5%,"")))</f>
        <v/>
      </c>
      <c r="R476" s="5" t="str">
        <f t="shared" si="85"/>
        <v/>
      </c>
      <c r="S476" s="5" t="str">
        <f t="shared" si="86"/>
        <v/>
      </c>
      <c r="T476" s="11"/>
      <c r="U476" s="8" t="str">
        <f>IF(OR(VedAarnaSKUMaster[[#This Row],[Selling Price]]="",VedAarnaSKUMaster[[#This Row],[Selling Price]]=0),"",CEILING(VedAarnaSKUMaster[[#This Row],[Selling Price]]/(1-20%),100)-1)</f>
        <v/>
      </c>
      <c r="V476">
        <f t="shared" si="96"/>
        <v>0</v>
      </c>
      <c r="W476" s="8"/>
      <c r="Z476" s="6" t="str">
        <f t="shared" si="87"/>
        <v/>
      </c>
      <c r="AA476" s="6" t="str">
        <f t="shared" si="88"/>
        <v/>
      </c>
      <c r="AB476" s="6" t="str">
        <f t="shared" si="89"/>
        <v/>
      </c>
      <c r="AC476" s="6" t="str">
        <f t="shared" si="90"/>
        <v/>
      </c>
      <c r="AD476" s="6" t="str">
        <f t="shared" si="91"/>
        <v/>
      </c>
      <c r="AE476" s="6" t="str">
        <f t="shared" si="92"/>
        <v/>
      </c>
      <c r="AF476" s="6" t="str">
        <f t="shared" si="93"/>
        <v/>
      </c>
      <c r="AG476" s="6" t="str">
        <f t="shared" si="94"/>
        <v/>
      </c>
      <c r="AH476" s="6" t="str">
        <f t="shared" si="95"/>
        <v/>
      </c>
    </row>
    <row r="477" spans="1:34">
      <c r="A477" s="9"/>
      <c r="C477" s="4" t="str">
        <f>IFERROR(VLOOKUP(B477,'Code Lists'!$A:$B,2,FALSE),"")</f>
        <v/>
      </c>
      <c r="F477" s="4" t="str">
        <f>IFERROR(VLOOKUP(E477,'Code Lists'!$D:$E,2,FALSE),"")</f>
        <v/>
      </c>
      <c r="H477" s="4" t="str">
        <f>IFERROR(VLOOKUP(G477,'Code Lists'!$G:$H,2,FALSE),"")</f>
        <v/>
      </c>
      <c r="J477" s="10"/>
      <c r="M477" s="11"/>
      <c r="Q477" s="7" t="str">
        <f>IF(VedAarnaSKUMaster[[#This Row],[HSN/SAC Code]]=998822,5%,IF(VedAarnaSKUMaster[[#This Row],[HSN/SAC Code]]=998391,18%,IF(VedAarnaSKUMaster[[#This Row],[HSN/SAC Code]]=998723,5%,"")))</f>
        <v/>
      </c>
      <c r="R477" s="5" t="str">
        <f t="shared" si="85"/>
        <v/>
      </c>
      <c r="S477" s="5" t="str">
        <f t="shared" si="86"/>
        <v/>
      </c>
      <c r="T477" s="11"/>
      <c r="U477" s="8" t="str">
        <f>IF(OR(VedAarnaSKUMaster[[#This Row],[Selling Price]]="",VedAarnaSKUMaster[[#This Row],[Selling Price]]=0),"",CEILING(VedAarnaSKUMaster[[#This Row],[Selling Price]]/(1-20%),100)-1)</f>
        <v/>
      </c>
      <c r="V477">
        <f t="shared" si="96"/>
        <v>0</v>
      </c>
      <c r="W477" s="8"/>
      <c r="Z477" s="6" t="str">
        <f t="shared" si="87"/>
        <v/>
      </c>
      <c r="AA477" s="6" t="str">
        <f t="shared" si="88"/>
        <v/>
      </c>
      <c r="AB477" s="6" t="str">
        <f t="shared" si="89"/>
        <v/>
      </c>
      <c r="AC477" s="6" t="str">
        <f t="shared" si="90"/>
        <v/>
      </c>
      <c r="AD477" s="6" t="str">
        <f t="shared" si="91"/>
        <v/>
      </c>
      <c r="AE477" s="6" t="str">
        <f t="shared" si="92"/>
        <v/>
      </c>
      <c r="AF477" s="6" t="str">
        <f t="shared" si="93"/>
        <v/>
      </c>
      <c r="AG477" s="6" t="str">
        <f t="shared" si="94"/>
        <v/>
      </c>
      <c r="AH477" s="6" t="str">
        <f t="shared" si="95"/>
        <v/>
      </c>
    </row>
    <row r="478" spans="1:34">
      <c r="A478" s="9"/>
      <c r="C478" s="4" t="str">
        <f>IFERROR(VLOOKUP(B478,'Code Lists'!$A:$B,2,FALSE),"")</f>
        <v/>
      </c>
      <c r="F478" s="4" t="str">
        <f>IFERROR(VLOOKUP(E478,'Code Lists'!$D:$E,2,FALSE),"")</f>
        <v/>
      </c>
      <c r="H478" s="4" t="str">
        <f>IFERROR(VLOOKUP(G478,'Code Lists'!$G:$H,2,FALSE),"")</f>
        <v/>
      </c>
      <c r="J478" s="10"/>
      <c r="M478" s="11"/>
      <c r="Q478" s="7" t="str">
        <f>IF(VedAarnaSKUMaster[[#This Row],[HSN/SAC Code]]=998822,5%,IF(VedAarnaSKUMaster[[#This Row],[HSN/SAC Code]]=998391,18%,IF(VedAarnaSKUMaster[[#This Row],[HSN/SAC Code]]=998723,5%,"")))</f>
        <v/>
      </c>
      <c r="R478" s="5" t="str">
        <f t="shared" si="85"/>
        <v/>
      </c>
      <c r="S478" s="5" t="str">
        <f t="shared" si="86"/>
        <v/>
      </c>
      <c r="T478" s="11"/>
      <c r="U478" s="8" t="str">
        <f>IF(OR(VedAarnaSKUMaster[[#This Row],[Selling Price]]="",VedAarnaSKUMaster[[#This Row],[Selling Price]]=0),"",CEILING(VedAarnaSKUMaster[[#This Row],[Selling Price]]/(1-20%),100)-1)</f>
        <v/>
      </c>
      <c r="V478">
        <f t="shared" si="96"/>
        <v>0</v>
      </c>
      <c r="W478" s="8"/>
      <c r="Z478" s="6" t="str">
        <f t="shared" si="87"/>
        <v/>
      </c>
      <c r="AA478" s="6" t="str">
        <f t="shared" si="88"/>
        <v/>
      </c>
      <c r="AB478" s="6" t="str">
        <f t="shared" si="89"/>
        <v/>
      </c>
      <c r="AC478" s="6" t="str">
        <f t="shared" si="90"/>
        <v/>
      </c>
      <c r="AD478" s="6" t="str">
        <f t="shared" si="91"/>
        <v/>
      </c>
      <c r="AE478" s="6" t="str">
        <f t="shared" si="92"/>
        <v/>
      </c>
      <c r="AF478" s="6" t="str">
        <f t="shared" si="93"/>
        <v/>
      </c>
      <c r="AG478" s="6" t="str">
        <f t="shared" si="94"/>
        <v/>
      </c>
      <c r="AH478" s="6" t="str">
        <f t="shared" si="95"/>
        <v/>
      </c>
    </row>
    <row r="479" spans="1:34">
      <c r="A479" s="9"/>
      <c r="C479" s="4" t="str">
        <f>IFERROR(VLOOKUP(B479,'Code Lists'!$A:$B,2,FALSE),"")</f>
        <v/>
      </c>
      <c r="F479" s="4" t="str">
        <f>IFERROR(VLOOKUP(E479,'Code Lists'!$D:$E,2,FALSE),"")</f>
        <v/>
      </c>
      <c r="H479" s="4" t="str">
        <f>IFERROR(VLOOKUP(G479,'Code Lists'!$G:$H,2,FALSE),"")</f>
        <v/>
      </c>
      <c r="J479" s="10"/>
      <c r="M479" s="11"/>
      <c r="Q479" s="7" t="str">
        <f>IF(VedAarnaSKUMaster[[#This Row],[HSN/SAC Code]]=998822,5%,IF(VedAarnaSKUMaster[[#This Row],[HSN/SAC Code]]=998391,18%,IF(VedAarnaSKUMaster[[#This Row],[HSN/SAC Code]]=998723,5%,"")))</f>
        <v/>
      </c>
      <c r="R479" s="5" t="str">
        <f t="shared" si="85"/>
        <v/>
      </c>
      <c r="S479" s="5" t="str">
        <f t="shared" si="86"/>
        <v/>
      </c>
      <c r="T479" s="11"/>
      <c r="U479" s="8" t="str">
        <f>IF(OR(VedAarnaSKUMaster[[#This Row],[Selling Price]]="",VedAarnaSKUMaster[[#This Row],[Selling Price]]=0),"",CEILING(VedAarnaSKUMaster[[#This Row],[Selling Price]]/(1-20%),100)-1)</f>
        <v/>
      </c>
      <c r="V479">
        <f t="shared" si="96"/>
        <v>0</v>
      </c>
      <c r="W479" s="8"/>
      <c r="Z479" s="6" t="str">
        <f t="shared" si="87"/>
        <v/>
      </c>
      <c r="AA479" s="6" t="str">
        <f t="shared" si="88"/>
        <v/>
      </c>
      <c r="AB479" s="6" t="str">
        <f t="shared" si="89"/>
        <v/>
      </c>
      <c r="AC479" s="6" t="str">
        <f t="shared" si="90"/>
        <v/>
      </c>
      <c r="AD479" s="6" t="str">
        <f t="shared" si="91"/>
        <v/>
      </c>
      <c r="AE479" s="6" t="str">
        <f t="shared" si="92"/>
        <v/>
      </c>
      <c r="AF479" s="6" t="str">
        <f t="shared" si="93"/>
        <v/>
      </c>
      <c r="AG479" s="6" t="str">
        <f t="shared" si="94"/>
        <v/>
      </c>
      <c r="AH479" s="6" t="str">
        <f t="shared" si="95"/>
        <v/>
      </c>
    </row>
    <row r="480" spans="1:34">
      <c r="A480" s="9"/>
      <c r="C480" s="4" t="str">
        <f>IFERROR(VLOOKUP(B480,'Code Lists'!$A:$B,2,FALSE),"")</f>
        <v/>
      </c>
      <c r="F480" s="4" t="str">
        <f>IFERROR(VLOOKUP(E480,'Code Lists'!$D:$E,2,FALSE),"")</f>
        <v/>
      </c>
      <c r="H480" s="4" t="str">
        <f>IFERROR(VLOOKUP(G480,'Code Lists'!$G:$H,2,FALSE),"")</f>
        <v/>
      </c>
      <c r="J480" s="10"/>
      <c r="M480" s="11"/>
      <c r="Q480" s="7" t="str">
        <f>IF(VedAarnaSKUMaster[[#This Row],[HSN/SAC Code]]=998822,5%,IF(VedAarnaSKUMaster[[#This Row],[HSN/SAC Code]]=998391,18%,IF(VedAarnaSKUMaster[[#This Row],[HSN/SAC Code]]=998723,5%,"")))</f>
        <v/>
      </c>
      <c r="R480" s="5" t="str">
        <f t="shared" si="85"/>
        <v/>
      </c>
      <c r="S480" s="5" t="str">
        <f t="shared" si="86"/>
        <v/>
      </c>
      <c r="T480" s="11"/>
      <c r="U480" s="8" t="str">
        <f>IF(OR(VedAarnaSKUMaster[[#This Row],[Selling Price]]="",VedAarnaSKUMaster[[#This Row],[Selling Price]]=0),"",CEILING(VedAarnaSKUMaster[[#This Row],[Selling Price]]/(1-20%),100)-1)</f>
        <v/>
      </c>
      <c r="V480">
        <f t="shared" si="96"/>
        <v>0</v>
      </c>
      <c r="W480" s="8"/>
      <c r="Z480" s="6" t="str">
        <f t="shared" si="87"/>
        <v/>
      </c>
      <c r="AA480" s="6" t="str">
        <f t="shared" si="88"/>
        <v/>
      </c>
      <c r="AB480" s="6" t="str">
        <f t="shared" si="89"/>
        <v/>
      </c>
      <c r="AC480" s="6" t="str">
        <f t="shared" si="90"/>
        <v/>
      </c>
      <c r="AD480" s="6" t="str">
        <f t="shared" si="91"/>
        <v/>
      </c>
      <c r="AE480" s="6" t="str">
        <f t="shared" si="92"/>
        <v/>
      </c>
      <c r="AF480" s="6" t="str">
        <f t="shared" si="93"/>
        <v/>
      </c>
      <c r="AG480" s="6" t="str">
        <f t="shared" si="94"/>
        <v/>
      </c>
      <c r="AH480" s="6" t="str">
        <f t="shared" si="95"/>
        <v/>
      </c>
    </row>
    <row r="481" spans="1:34">
      <c r="A481" s="9"/>
      <c r="C481" s="4" t="str">
        <f>IFERROR(VLOOKUP(B481,'Code Lists'!$A:$B,2,FALSE),"")</f>
        <v/>
      </c>
      <c r="F481" s="4" t="str">
        <f>IFERROR(VLOOKUP(E481,'Code Lists'!$D:$E,2,FALSE),"")</f>
        <v/>
      </c>
      <c r="H481" s="4" t="str">
        <f>IFERROR(VLOOKUP(G481,'Code Lists'!$G:$H,2,FALSE),"")</f>
        <v/>
      </c>
      <c r="J481" s="10"/>
      <c r="M481" s="11"/>
      <c r="Q481" s="7" t="str">
        <f>IF(VedAarnaSKUMaster[[#This Row],[HSN/SAC Code]]=998822,5%,IF(VedAarnaSKUMaster[[#This Row],[HSN/SAC Code]]=998391,18%,IF(VedAarnaSKUMaster[[#This Row],[HSN/SAC Code]]=998723,5%,"")))</f>
        <v/>
      </c>
      <c r="R481" s="5" t="str">
        <f t="shared" si="85"/>
        <v/>
      </c>
      <c r="S481" s="5" t="str">
        <f t="shared" si="86"/>
        <v/>
      </c>
      <c r="T481" s="11"/>
      <c r="U481" s="8" t="str">
        <f>IF(OR(VedAarnaSKUMaster[[#This Row],[Selling Price]]="",VedAarnaSKUMaster[[#This Row],[Selling Price]]=0),"",CEILING(VedAarnaSKUMaster[[#This Row],[Selling Price]]/(1-20%),100)-1)</f>
        <v/>
      </c>
      <c r="V481">
        <f t="shared" si="96"/>
        <v>0</v>
      </c>
      <c r="W481" s="8"/>
      <c r="Z481" s="6" t="str">
        <f t="shared" si="87"/>
        <v/>
      </c>
      <c r="AA481" s="6" t="str">
        <f t="shared" si="88"/>
        <v/>
      </c>
      <c r="AB481" s="6" t="str">
        <f t="shared" si="89"/>
        <v/>
      </c>
      <c r="AC481" s="6" t="str">
        <f t="shared" si="90"/>
        <v/>
      </c>
      <c r="AD481" s="6" t="str">
        <f t="shared" si="91"/>
        <v/>
      </c>
      <c r="AE481" s="6" t="str">
        <f t="shared" si="92"/>
        <v/>
      </c>
      <c r="AF481" s="6" t="str">
        <f t="shared" si="93"/>
        <v/>
      </c>
      <c r="AG481" s="6" t="str">
        <f t="shared" si="94"/>
        <v/>
      </c>
      <c r="AH481" s="6" t="str">
        <f t="shared" si="95"/>
        <v/>
      </c>
    </row>
    <row r="482" spans="1:34">
      <c r="A482" s="9"/>
      <c r="C482" s="4" t="str">
        <f>IFERROR(VLOOKUP(B482,'Code Lists'!$A:$B,2,FALSE),"")</f>
        <v/>
      </c>
      <c r="F482" s="4" t="str">
        <f>IFERROR(VLOOKUP(E482,'Code Lists'!$D:$E,2,FALSE),"")</f>
        <v/>
      </c>
      <c r="H482" s="4" t="str">
        <f>IFERROR(VLOOKUP(G482,'Code Lists'!$G:$H,2,FALSE),"")</f>
        <v/>
      </c>
      <c r="J482" s="10"/>
      <c r="M482" s="11"/>
      <c r="Q482" s="7" t="str">
        <f>IF(VedAarnaSKUMaster[[#This Row],[HSN/SAC Code]]=998822,5%,IF(VedAarnaSKUMaster[[#This Row],[HSN/SAC Code]]=998391,18%,IF(VedAarnaSKUMaster[[#This Row],[HSN/SAC Code]]=998723,5%,"")))</f>
        <v/>
      </c>
      <c r="R482" s="5" t="str">
        <f t="shared" si="85"/>
        <v/>
      </c>
      <c r="S482" s="5" t="str">
        <f t="shared" si="86"/>
        <v/>
      </c>
      <c r="T482" s="11"/>
      <c r="U482" s="8" t="str">
        <f>IF(OR(VedAarnaSKUMaster[[#This Row],[Selling Price]]="",VedAarnaSKUMaster[[#This Row],[Selling Price]]=0),"",CEILING(VedAarnaSKUMaster[[#This Row],[Selling Price]]/(1-20%),100)-1)</f>
        <v/>
      </c>
      <c r="V482">
        <f t="shared" si="96"/>
        <v>0</v>
      </c>
      <c r="W482" s="8"/>
      <c r="Z482" s="6" t="str">
        <f t="shared" si="87"/>
        <v/>
      </c>
      <c r="AA482" s="6" t="str">
        <f t="shared" si="88"/>
        <v/>
      </c>
      <c r="AB482" s="6" t="str">
        <f t="shared" si="89"/>
        <v/>
      </c>
      <c r="AC482" s="6" t="str">
        <f t="shared" si="90"/>
        <v/>
      </c>
      <c r="AD482" s="6" t="str">
        <f t="shared" si="91"/>
        <v/>
      </c>
      <c r="AE482" s="6" t="str">
        <f t="shared" si="92"/>
        <v/>
      </c>
      <c r="AF482" s="6" t="str">
        <f t="shared" si="93"/>
        <v/>
      </c>
      <c r="AG482" s="6" t="str">
        <f t="shared" si="94"/>
        <v/>
      </c>
      <c r="AH482" s="6" t="str">
        <f t="shared" si="95"/>
        <v/>
      </c>
    </row>
    <row r="483" spans="1:34">
      <c r="A483" s="9"/>
      <c r="C483" s="4" t="str">
        <f>IFERROR(VLOOKUP(B483,'Code Lists'!$A:$B,2,FALSE),"")</f>
        <v/>
      </c>
      <c r="F483" s="4" t="str">
        <f>IFERROR(VLOOKUP(E483,'Code Lists'!$D:$E,2,FALSE),"")</f>
        <v/>
      </c>
      <c r="H483" s="4" t="str">
        <f>IFERROR(VLOOKUP(G483,'Code Lists'!$G:$H,2,FALSE),"")</f>
        <v/>
      </c>
      <c r="J483" s="10"/>
      <c r="M483" s="11"/>
      <c r="Q483" s="7" t="str">
        <f>IF(VedAarnaSKUMaster[[#This Row],[HSN/SAC Code]]=998822,5%,IF(VedAarnaSKUMaster[[#This Row],[HSN/SAC Code]]=998391,18%,IF(VedAarnaSKUMaster[[#This Row],[HSN/SAC Code]]=998723,5%,"")))</f>
        <v/>
      </c>
      <c r="R483" s="5" t="str">
        <f t="shared" si="85"/>
        <v/>
      </c>
      <c r="S483" s="5" t="str">
        <f t="shared" si="86"/>
        <v/>
      </c>
      <c r="T483" s="11"/>
      <c r="U483" s="8" t="str">
        <f>IF(OR(VedAarnaSKUMaster[[#This Row],[Selling Price]]="",VedAarnaSKUMaster[[#This Row],[Selling Price]]=0),"",CEILING(VedAarnaSKUMaster[[#This Row],[Selling Price]]/(1-20%),100)-1)</f>
        <v/>
      </c>
      <c r="V483">
        <f t="shared" si="96"/>
        <v>0</v>
      </c>
      <c r="W483" s="8"/>
      <c r="Z483" s="6" t="str">
        <f t="shared" si="87"/>
        <v/>
      </c>
      <c r="AA483" s="6" t="str">
        <f t="shared" si="88"/>
        <v/>
      </c>
      <c r="AB483" s="6" t="str">
        <f t="shared" si="89"/>
        <v/>
      </c>
      <c r="AC483" s="6" t="str">
        <f t="shared" si="90"/>
        <v/>
      </c>
      <c r="AD483" s="6" t="str">
        <f t="shared" si="91"/>
        <v/>
      </c>
      <c r="AE483" s="6" t="str">
        <f t="shared" si="92"/>
        <v/>
      </c>
      <c r="AF483" s="6" t="str">
        <f t="shared" si="93"/>
        <v/>
      </c>
      <c r="AG483" s="6" t="str">
        <f t="shared" si="94"/>
        <v/>
      </c>
      <c r="AH483" s="6" t="str">
        <f t="shared" si="95"/>
        <v/>
      </c>
    </row>
    <row r="484" spans="1:34">
      <c r="A484" s="9"/>
      <c r="C484" s="4" t="str">
        <f>IFERROR(VLOOKUP(B484,'Code Lists'!$A:$B,2,FALSE),"")</f>
        <v/>
      </c>
      <c r="F484" s="4" t="str">
        <f>IFERROR(VLOOKUP(E484,'Code Lists'!$D:$E,2,FALSE),"")</f>
        <v/>
      </c>
      <c r="H484" s="4" t="str">
        <f>IFERROR(VLOOKUP(G484,'Code Lists'!$G:$H,2,FALSE),"")</f>
        <v/>
      </c>
      <c r="J484" s="10"/>
      <c r="M484" s="11"/>
      <c r="Q484" s="7" t="str">
        <f>IF(VedAarnaSKUMaster[[#This Row],[HSN/SAC Code]]=998822,5%,IF(VedAarnaSKUMaster[[#This Row],[HSN/SAC Code]]=998391,18%,IF(VedAarnaSKUMaster[[#This Row],[HSN/SAC Code]]=998723,5%,"")))</f>
        <v/>
      </c>
      <c r="R484" s="5" t="str">
        <f t="shared" si="85"/>
        <v/>
      </c>
      <c r="S484" s="5" t="str">
        <f t="shared" si="86"/>
        <v/>
      </c>
      <c r="T484" s="11"/>
      <c r="U484" s="8" t="str">
        <f>IF(OR(VedAarnaSKUMaster[[#This Row],[Selling Price]]="",VedAarnaSKUMaster[[#This Row],[Selling Price]]=0),"",CEILING(VedAarnaSKUMaster[[#This Row],[Selling Price]]/(1-20%),100)-1)</f>
        <v/>
      </c>
      <c r="V484">
        <f t="shared" si="96"/>
        <v>0</v>
      </c>
      <c r="W484" s="8"/>
      <c r="Z484" s="6" t="str">
        <f t="shared" si="87"/>
        <v/>
      </c>
      <c r="AA484" s="6" t="str">
        <f t="shared" si="88"/>
        <v/>
      </c>
      <c r="AB484" s="6" t="str">
        <f t="shared" si="89"/>
        <v/>
      </c>
      <c r="AC484" s="6" t="str">
        <f t="shared" si="90"/>
        <v/>
      </c>
      <c r="AD484" s="6" t="str">
        <f t="shared" si="91"/>
        <v/>
      </c>
      <c r="AE484" s="6" t="str">
        <f t="shared" si="92"/>
        <v/>
      </c>
      <c r="AF484" s="6" t="str">
        <f t="shared" si="93"/>
        <v/>
      </c>
      <c r="AG484" s="6" t="str">
        <f t="shared" si="94"/>
        <v/>
      </c>
      <c r="AH484" s="6" t="str">
        <f t="shared" si="95"/>
        <v/>
      </c>
    </row>
    <row r="485" spans="1:34">
      <c r="A485" s="9"/>
      <c r="C485" s="4" t="str">
        <f>IFERROR(VLOOKUP(B485,'Code Lists'!$A:$B,2,FALSE),"")</f>
        <v/>
      </c>
      <c r="F485" s="4" t="str">
        <f>IFERROR(VLOOKUP(E485,'Code Lists'!$D:$E,2,FALSE),"")</f>
        <v/>
      </c>
      <c r="H485" s="4" t="str">
        <f>IFERROR(VLOOKUP(G485,'Code Lists'!$G:$H,2,FALSE),"")</f>
        <v/>
      </c>
      <c r="J485" s="10"/>
      <c r="M485" s="11"/>
      <c r="Q485" s="7" t="str">
        <f>IF(VedAarnaSKUMaster[[#This Row],[HSN/SAC Code]]=998822,5%,IF(VedAarnaSKUMaster[[#This Row],[HSN/SAC Code]]=998391,18%,IF(VedAarnaSKUMaster[[#This Row],[HSN/SAC Code]]=998723,5%,"")))</f>
        <v/>
      </c>
      <c r="R485" s="5" t="str">
        <f t="shared" si="85"/>
        <v/>
      </c>
      <c r="S485" s="5" t="str">
        <f t="shared" si="86"/>
        <v/>
      </c>
      <c r="T485" s="11"/>
      <c r="U485" s="8" t="str">
        <f>IF(OR(VedAarnaSKUMaster[[#This Row],[Selling Price]]="",VedAarnaSKUMaster[[#This Row],[Selling Price]]=0),"",CEILING(VedAarnaSKUMaster[[#This Row],[Selling Price]]/(1-20%),100)-1)</f>
        <v/>
      </c>
      <c r="V485">
        <f t="shared" si="96"/>
        <v>0</v>
      </c>
      <c r="W485" s="8"/>
      <c r="Z485" s="6" t="str">
        <f t="shared" si="87"/>
        <v/>
      </c>
      <c r="AA485" s="6" t="str">
        <f t="shared" si="88"/>
        <v/>
      </c>
      <c r="AB485" s="6" t="str">
        <f t="shared" si="89"/>
        <v/>
      </c>
      <c r="AC485" s="6" t="str">
        <f t="shared" si="90"/>
        <v/>
      </c>
      <c r="AD485" s="6" t="str">
        <f t="shared" si="91"/>
        <v/>
      </c>
      <c r="AE485" s="6" t="str">
        <f t="shared" si="92"/>
        <v/>
      </c>
      <c r="AF485" s="6" t="str">
        <f t="shared" si="93"/>
        <v/>
      </c>
      <c r="AG485" s="6" t="str">
        <f t="shared" si="94"/>
        <v/>
      </c>
      <c r="AH485" s="6" t="str">
        <f t="shared" si="95"/>
        <v/>
      </c>
    </row>
    <row r="486" spans="1:34">
      <c r="A486" s="9"/>
      <c r="C486" s="4" t="str">
        <f>IFERROR(VLOOKUP(B486,'Code Lists'!$A:$B,2,FALSE),"")</f>
        <v/>
      </c>
      <c r="F486" s="4" t="str">
        <f>IFERROR(VLOOKUP(E486,'Code Lists'!$D:$E,2,FALSE),"")</f>
        <v/>
      </c>
      <c r="H486" s="4" t="str">
        <f>IFERROR(VLOOKUP(G486,'Code Lists'!$G:$H,2,FALSE),"")</f>
        <v/>
      </c>
      <c r="J486" s="10"/>
      <c r="M486" s="11"/>
      <c r="Q486" s="7" t="str">
        <f>IF(VedAarnaSKUMaster[[#This Row],[HSN/SAC Code]]=998822,5%,IF(VedAarnaSKUMaster[[#This Row],[HSN/SAC Code]]=998391,18%,IF(VedAarnaSKUMaster[[#This Row],[HSN/SAC Code]]=998723,5%,"")))</f>
        <v/>
      </c>
      <c r="R486" s="5" t="str">
        <f t="shared" si="85"/>
        <v/>
      </c>
      <c r="S486" s="5" t="str">
        <f t="shared" si="86"/>
        <v/>
      </c>
      <c r="T486" s="11"/>
      <c r="U486" s="8" t="str">
        <f>IF(OR(VedAarnaSKUMaster[[#This Row],[Selling Price]]="",VedAarnaSKUMaster[[#This Row],[Selling Price]]=0),"",CEILING(VedAarnaSKUMaster[[#This Row],[Selling Price]]/(1-20%),100)-1)</f>
        <v/>
      </c>
      <c r="V486">
        <f t="shared" si="96"/>
        <v>0</v>
      </c>
      <c r="W486" s="8"/>
      <c r="Z486" s="6" t="str">
        <f t="shared" si="87"/>
        <v/>
      </c>
      <c r="AA486" s="6" t="str">
        <f t="shared" si="88"/>
        <v/>
      </c>
      <c r="AB486" s="6" t="str">
        <f t="shared" si="89"/>
        <v/>
      </c>
      <c r="AC486" s="6" t="str">
        <f t="shared" si="90"/>
        <v/>
      </c>
      <c r="AD486" s="6" t="str">
        <f t="shared" si="91"/>
        <v/>
      </c>
      <c r="AE486" s="6" t="str">
        <f t="shared" si="92"/>
        <v/>
      </c>
      <c r="AF486" s="6" t="str">
        <f t="shared" si="93"/>
        <v/>
      </c>
      <c r="AG486" s="6" t="str">
        <f t="shared" si="94"/>
        <v/>
      </c>
      <c r="AH486" s="6" t="str">
        <f t="shared" si="95"/>
        <v/>
      </c>
    </row>
    <row r="487" spans="1:34">
      <c r="A487" s="9"/>
      <c r="C487" s="4" t="str">
        <f>IFERROR(VLOOKUP(B487,'Code Lists'!$A:$B,2,FALSE),"")</f>
        <v/>
      </c>
      <c r="F487" s="4" t="str">
        <f>IFERROR(VLOOKUP(E487,'Code Lists'!$D:$E,2,FALSE),"")</f>
        <v/>
      </c>
      <c r="H487" s="4" t="str">
        <f>IFERROR(VLOOKUP(G487,'Code Lists'!$G:$H,2,FALSE),"")</f>
        <v/>
      </c>
      <c r="J487" s="10"/>
      <c r="M487" s="11"/>
      <c r="Q487" s="7" t="str">
        <f>IF(VedAarnaSKUMaster[[#This Row],[HSN/SAC Code]]=998822,5%,IF(VedAarnaSKUMaster[[#This Row],[HSN/SAC Code]]=998391,18%,IF(VedAarnaSKUMaster[[#This Row],[HSN/SAC Code]]=998723,5%,"")))</f>
        <v/>
      </c>
      <c r="R487" s="5" t="str">
        <f t="shared" si="85"/>
        <v/>
      </c>
      <c r="S487" s="5" t="str">
        <f t="shared" si="86"/>
        <v/>
      </c>
      <c r="T487" s="11"/>
      <c r="U487" s="8" t="str">
        <f>IF(OR(VedAarnaSKUMaster[[#This Row],[Selling Price]]="",VedAarnaSKUMaster[[#This Row],[Selling Price]]=0),"",CEILING(VedAarnaSKUMaster[[#This Row],[Selling Price]]/(1-20%),100)-1)</f>
        <v/>
      </c>
      <c r="V487">
        <f t="shared" si="96"/>
        <v>0</v>
      </c>
      <c r="W487" s="8"/>
      <c r="Z487" s="6" t="str">
        <f t="shared" si="87"/>
        <v/>
      </c>
      <c r="AA487" s="6" t="str">
        <f t="shared" si="88"/>
        <v/>
      </c>
      <c r="AB487" s="6" t="str">
        <f t="shared" si="89"/>
        <v/>
      </c>
      <c r="AC487" s="6" t="str">
        <f t="shared" si="90"/>
        <v/>
      </c>
      <c r="AD487" s="6" t="str">
        <f t="shared" si="91"/>
        <v/>
      </c>
      <c r="AE487" s="6" t="str">
        <f t="shared" si="92"/>
        <v/>
      </c>
      <c r="AF487" s="6" t="str">
        <f t="shared" si="93"/>
        <v/>
      </c>
      <c r="AG487" s="6" t="str">
        <f t="shared" si="94"/>
        <v/>
      </c>
      <c r="AH487" s="6" t="str">
        <f t="shared" si="95"/>
        <v/>
      </c>
    </row>
    <row r="488" spans="1:34">
      <c r="A488" s="9"/>
      <c r="C488" s="4" t="str">
        <f>IFERROR(VLOOKUP(B488,'Code Lists'!$A:$B,2,FALSE),"")</f>
        <v/>
      </c>
      <c r="F488" s="4" t="str">
        <f>IFERROR(VLOOKUP(E488,'Code Lists'!$D:$E,2,FALSE),"")</f>
        <v/>
      </c>
      <c r="H488" s="4" t="str">
        <f>IFERROR(VLOOKUP(G488,'Code Lists'!$G:$H,2,FALSE),"")</f>
        <v/>
      </c>
      <c r="J488" s="10"/>
      <c r="M488" s="11"/>
      <c r="Q488" s="7" t="str">
        <f>IF(VedAarnaSKUMaster[[#This Row],[HSN/SAC Code]]=998822,5%,IF(VedAarnaSKUMaster[[#This Row],[HSN/SAC Code]]=998391,18%,IF(VedAarnaSKUMaster[[#This Row],[HSN/SAC Code]]=998723,5%,"")))</f>
        <v/>
      </c>
      <c r="R488" s="5" t="str">
        <f t="shared" si="85"/>
        <v/>
      </c>
      <c r="S488" s="5" t="str">
        <f t="shared" si="86"/>
        <v/>
      </c>
      <c r="T488" s="11"/>
      <c r="U488" s="8" t="str">
        <f>IF(OR(VedAarnaSKUMaster[[#This Row],[Selling Price]]="",VedAarnaSKUMaster[[#This Row],[Selling Price]]=0),"",CEILING(VedAarnaSKUMaster[[#This Row],[Selling Price]]/(1-20%),100)-1)</f>
        <v/>
      </c>
      <c r="V488">
        <f t="shared" si="96"/>
        <v>0</v>
      </c>
      <c r="W488" s="8"/>
      <c r="Z488" s="6" t="str">
        <f t="shared" si="87"/>
        <v/>
      </c>
      <c r="AA488" s="6" t="str">
        <f t="shared" si="88"/>
        <v/>
      </c>
      <c r="AB488" s="6" t="str">
        <f t="shared" si="89"/>
        <v/>
      </c>
      <c r="AC488" s="6" t="str">
        <f t="shared" si="90"/>
        <v/>
      </c>
      <c r="AD488" s="6" t="str">
        <f t="shared" si="91"/>
        <v/>
      </c>
      <c r="AE488" s="6" t="str">
        <f t="shared" si="92"/>
        <v/>
      </c>
      <c r="AF488" s="6" t="str">
        <f t="shared" si="93"/>
        <v/>
      </c>
      <c r="AG488" s="6" t="str">
        <f t="shared" si="94"/>
        <v/>
      </c>
      <c r="AH488" s="6" t="str">
        <f t="shared" si="95"/>
        <v/>
      </c>
    </row>
    <row r="489" spans="1:34">
      <c r="A489" s="9"/>
      <c r="C489" s="4" t="str">
        <f>IFERROR(VLOOKUP(B489,'Code Lists'!$A:$B,2,FALSE),"")</f>
        <v/>
      </c>
      <c r="F489" s="4" t="str">
        <f>IFERROR(VLOOKUP(E489,'Code Lists'!$D:$E,2,FALSE),"")</f>
        <v/>
      </c>
      <c r="H489" s="4" t="str">
        <f>IFERROR(VLOOKUP(G489,'Code Lists'!$G:$H,2,FALSE),"")</f>
        <v/>
      </c>
      <c r="J489" s="10"/>
      <c r="M489" s="11"/>
      <c r="Q489" s="7" t="str">
        <f>IF(VedAarnaSKUMaster[[#This Row],[HSN/SAC Code]]=998822,5%,IF(VedAarnaSKUMaster[[#This Row],[HSN/SAC Code]]=998391,18%,IF(VedAarnaSKUMaster[[#This Row],[HSN/SAC Code]]=998723,5%,"")))</f>
        <v/>
      </c>
      <c r="R489" s="5" t="str">
        <f t="shared" si="85"/>
        <v/>
      </c>
      <c r="S489" s="5" t="str">
        <f t="shared" si="86"/>
        <v/>
      </c>
      <c r="T489" s="11"/>
      <c r="U489" s="8" t="str">
        <f>IF(OR(VedAarnaSKUMaster[[#This Row],[Selling Price]]="",VedAarnaSKUMaster[[#This Row],[Selling Price]]=0),"",CEILING(VedAarnaSKUMaster[[#This Row],[Selling Price]]/(1-20%),100)-1)</f>
        <v/>
      </c>
      <c r="V489">
        <f t="shared" si="96"/>
        <v>0</v>
      </c>
      <c r="W489" s="8"/>
      <c r="Z489" s="6" t="str">
        <f t="shared" si="87"/>
        <v/>
      </c>
      <c r="AA489" s="6" t="str">
        <f t="shared" si="88"/>
        <v/>
      </c>
      <c r="AB489" s="6" t="str">
        <f t="shared" si="89"/>
        <v/>
      </c>
      <c r="AC489" s="6" t="str">
        <f t="shared" si="90"/>
        <v/>
      </c>
      <c r="AD489" s="6" t="str">
        <f t="shared" si="91"/>
        <v/>
      </c>
      <c r="AE489" s="6" t="str">
        <f t="shared" si="92"/>
        <v/>
      </c>
      <c r="AF489" s="6" t="str">
        <f t="shared" si="93"/>
        <v/>
      </c>
      <c r="AG489" s="6" t="str">
        <f t="shared" si="94"/>
        <v/>
      </c>
      <c r="AH489" s="6" t="str">
        <f t="shared" si="95"/>
        <v/>
      </c>
    </row>
    <row r="490" spans="1:34">
      <c r="A490" s="9"/>
      <c r="C490" s="4" t="str">
        <f>IFERROR(VLOOKUP(B490,'Code Lists'!$A:$B,2,FALSE),"")</f>
        <v/>
      </c>
      <c r="F490" s="4" t="str">
        <f>IFERROR(VLOOKUP(E490,'Code Lists'!$D:$E,2,FALSE),"")</f>
        <v/>
      </c>
      <c r="H490" s="4" t="str">
        <f>IFERROR(VLOOKUP(G490,'Code Lists'!$G:$H,2,FALSE),"")</f>
        <v/>
      </c>
      <c r="J490" s="10"/>
      <c r="M490" s="11"/>
      <c r="Q490" s="7" t="str">
        <f>IF(VedAarnaSKUMaster[[#This Row],[HSN/SAC Code]]=998822,5%,IF(VedAarnaSKUMaster[[#This Row],[HSN/SAC Code]]=998391,18%,IF(VedAarnaSKUMaster[[#This Row],[HSN/SAC Code]]=998723,5%,"")))</f>
        <v/>
      </c>
      <c r="R490" s="5" t="str">
        <f t="shared" si="85"/>
        <v/>
      </c>
      <c r="S490" s="5" t="str">
        <f t="shared" si="86"/>
        <v/>
      </c>
      <c r="T490" s="11"/>
      <c r="U490" s="8" t="str">
        <f>IF(OR(VedAarnaSKUMaster[[#This Row],[Selling Price]]="",VedAarnaSKUMaster[[#This Row],[Selling Price]]=0),"",CEILING(VedAarnaSKUMaster[[#This Row],[Selling Price]]/(1-20%),100)-1)</f>
        <v/>
      </c>
      <c r="V490">
        <f t="shared" si="96"/>
        <v>0</v>
      </c>
      <c r="W490" s="8"/>
      <c r="Z490" s="6" t="str">
        <f t="shared" si="87"/>
        <v/>
      </c>
      <c r="AA490" s="6" t="str">
        <f t="shared" si="88"/>
        <v/>
      </c>
      <c r="AB490" s="6" t="str">
        <f t="shared" si="89"/>
        <v/>
      </c>
      <c r="AC490" s="6" t="str">
        <f t="shared" si="90"/>
        <v/>
      </c>
      <c r="AD490" s="6" t="str">
        <f t="shared" si="91"/>
        <v/>
      </c>
      <c r="AE490" s="6" t="str">
        <f t="shared" si="92"/>
        <v/>
      </c>
      <c r="AF490" s="6" t="str">
        <f t="shared" si="93"/>
        <v/>
      </c>
      <c r="AG490" s="6" t="str">
        <f t="shared" si="94"/>
        <v/>
      </c>
      <c r="AH490" s="6" t="str">
        <f t="shared" si="95"/>
        <v/>
      </c>
    </row>
    <row r="491" spans="1:34">
      <c r="A491" s="9"/>
      <c r="C491" s="4" t="str">
        <f>IFERROR(VLOOKUP(B491,'Code Lists'!$A:$B,2,FALSE),"")</f>
        <v/>
      </c>
      <c r="F491" s="4" t="str">
        <f>IFERROR(VLOOKUP(E491,'Code Lists'!$D:$E,2,FALSE),"")</f>
        <v/>
      </c>
      <c r="H491" s="4" t="str">
        <f>IFERROR(VLOOKUP(G491,'Code Lists'!$G:$H,2,FALSE),"")</f>
        <v/>
      </c>
      <c r="J491" s="10"/>
      <c r="M491" s="11"/>
      <c r="Q491" s="7" t="str">
        <f>IF(VedAarnaSKUMaster[[#This Row],[HSN/SAC Code]]=998822,5%,IF(VedAarnaSKUMaster[[#This Row],[HSN/SAC Code]]=998391,18%,IF(VedAarnaSKUMaster[[#This Row],[HSN/SAC Code]]=998723,5%,"")))</f>
        <v/>
      </c>
      <c r="R491" s="5" t="str">
        <f t="shared" si="85"/>
        <v/>
      </c>
      <c r="S491" s="5" t="str">
        <f t="shared" si="86"/>
        <v/>
      </c>
      <c r="T491" s="11"/>
      <c r="U491" s="8" t="str">
        <f>IF(OR(VedAarnaSKUMaster[[#This Row],[Selling Price]]="",VedAarnaSKUMaster[[#This Row],[Selling Price]]=0),"",CEILING(VedAarnaSKUMaster[[#This Row],[Selling Price]]/(1-20%),100)-1)</f>
        <v/>
      </c>
      <c r="V491">
        <f t="shared" si="96"/>
        <v>0</v>
      </c>
      <c r="W491" s="8"/>
      <c r="Z491" s="6" t="str">
        <f t="shared" si="87"/>
        <v/>
      </c>
      <c r="AA491" s="6" t="str">
        <f t="shared" si="88"/>
        <v/>
      </c>
      <c r="AB491" s="6" t="str">
        <f t="shared" si="89"/>
        <v/>
      </c>
      <c r="AC491" s="6" t="str">
        <f t="shared" si="90"/>
        <v/>
      </c>
      <c r="AD491" s="6" t="str">
        <f t="shared" si="91"/>
        <v/>
      </c>
      <c r="AE491" s="6" t="str">
        <f t="shared" si="92"/>
        <v/>
      </c>
      <c r="AF491" s="6" t="str">
        <f t="shared" si="93"/>
        <v/>
      </c>
      <c r="AG491" s="6" t="str">
        <f t="shared" si="94"/>
        <v/>
      </c>
      <c r="AH491" s="6" t="str">
        <f t="shared" si="95"/>
        <v/>
      </c>
    </row>
    <row r="492" spans="1:34">
      <c r="A492" s="9"/>
      <c r="C492" s="4" t="str">
        <f>IFERROR(VLOOKUP(B492,'Code Lists'!$A:$B,2,FALSE),"")</f>
        <v/>
      </c>
      <c r="F492" s="4" t="str">
        <f>IFERROR(VLOOKUP(E492,'Code Lists'!$D:$E,2,FALSE),"")</f>
        <v/>
      </c>
      <c r="H492" s="4" t="str">
        <f>IFERROR(VLOOKUP(G492,'Code Lists'!$G:$H,2,FALSE),"")</f>
        <v/>
      </c>
      <c r="J492" s="10"/>
      <c r="M492" s="11"/>
      <c r="Q492" s="7" t="str">
        <f>IF(VedAarnaSKUMaster[[#This Row],[HSN/SAC Code]]=998822,5%,IF(VedAarnaSKUMaster[[#This Row],[HSN/SAC Code]]=998391,18%,IF(VedAarnaSKUMaster[[#This Row],[HSN/SAC Code]]=998723,5%,"")))</f>
        <v/>
      </c>
      <c r="R492" s="5" t="str">
        <f t="shared" si="85"/>
        <v/>
      </c>
      <c r="S492" s="5" t="str">
        <f t="shared" si="86"/>
        <v/>
      </c>
      <c r="T492" s="11"/>
      <c r="U492" s="8" t="str">
        <f>IF(OR(VedAarnaSKUMaster[[#This Row],[Selling Price]]="",VedAarnaSKUMaster[[#This Row],[Selling Price]]=0),"",CEILING(VedAarnaSKUMaster[[#This Row],[Selling Price]]/(1-20%),100)-1)</f>
        <v/>
      </c>
      <c r="V492">
        <f t="shared" si="96"/>
        <v>0</v>
      </c>
      <c r="W492" s="8"/>
      <c r="Z492" s="6" t="str">
        <f t="shared" si="87"/>
        <v/>
      </c>
      <c r="AA492" s="6" t="str">
        <f t="shared" si="88"/>
        <v/>
      </c>
      <c r="AB492" s="6" t="str">
        <f t="shared" si="89"/>
        <v/>
      </c>
      <c r="AC492" s="6" t="str">
        <f t="shared" si="90"/>
        <v/>
      </c>
      <c r="AD492" s="6" t="str">
        <f t="shared" si="91"/>
        <v/>
      </c>
      <c r="AE492" s="6" t="str">
        <f t="shared" si="92"/>
        <v/>
      </c>
      <c r="AF492" s="6" t="str">
        <f t="shared" si="93"/>
        <v/>
      </c>
      <c r="AG492" s="6" t="str">
        <f t="shared" si="94"/>
        <v/>
      </c>
      <c r="AH492" s="6" t="str">
        <f t="shared" si="95"/>
        <v/>
      </c>
    </row>
    <row r="493" spans="1:34">
      <c r="A493" s="9"/>
      <c r="C493" s="4" t="str">
        <f>IFERROR(VLOOKUP(B493,'Code Lists'!$A:$B,2,FALSE),"")</f>
        <v/>
      </c>
      <c r="F493" s="4" t="str">
        <f>IFERROR(VLOOKUP(E493,'Code Lists'!$D:$E,2,FALSE),"")</f>
        <v/>
      </c>
      <c r="H493" s="4" t="str">
        <f>IFERROR(VLOOKUP(G493,'Code Lists'!$G:$H,2,FALSE),"")</f>
        <v/>
      </c>
      <c r="J493" s="10"/>
      <c r="M493" s="11"/>
      <c r="Q493" s="7" t="str">
        <f>IF(VedAarnaSKUMaster[[#This Row],[HSN/SAC Code]]=998822,5%,IF(VedAarnaSKUMaster[[#This Row],[HSN/SAC Code]]=998391,18%,IF(VedAarnaSKUMaster[[#This Row],[HSN/SAC Code]]=998723,5%,"")))</f>
        <v/>
      </c>
      <c r="R493" s="5" t="str">
        <f t="shared" si="85"/>
        <v/>
      </c>
      <c r="S493" s="5" t="str">
        <f t="shared" si="86"/>
        <v/>
      </c>
      <c r="T493" s="11"/>
      <c r="U493" s="8" t="str">
        <f>IF(OR(VedAarnaSKUMaster[[#This Row],[Selling Price]]="",VedAarnaSKUMaster[[#This Row],[Selling Price]]=0),"",CEILING(VedAarnaSKUMaster[[#This Row],[Selling Price]]/(1-20%),100)-1)</f>
        <v/>
      </c>
      <c r="V493">
        <f t="shared" si="96"/>
        <v>0</v>
      </c>
      <c r="W493" s="8"/>
      <c r="Z493" s="6" t="str">
        <f t="shared" si="87"/>
        <v/>
      </c>
      <c r="AA493" s="6" t="str">
        <f t="shared" si="88"/>
        <v/>
      </c>
      <c r="AB493" s="6" t="str">
        <f t="shared" si="89"/>
        <v/>
      </c>
      <c r="AC493" s="6" t="str">
        <f t="shared" si="90"/>
        <v/>
      </c>
      <c r="AD493" s="6" t="str">
        <f t="shared" si="91"/>
        <v/>
      </c>
      <c r="AE493" s="6" t="str">
        <f t="shared" si="92"/>
        <v/>
      </c>
      <c r="AF493" s="6" t="str">
        <f t="shared" si="93"/>
        <v/>
      </c>
      <c r="AG493" s="6" t="str">
        <f t="shared" si="94"/>
        <v/>
      </c>
      <c r="AH493" s="6" t="str">
        <f t="shared" si="95"/>
        <v/>
      </c>
    </row>
    <row r="494" spans="1:34">
      <c r="A494" s="9"/>
      <c r="C494" s="4" t="str">
        <f>IFERROR(VLOOKUP(B494,'Code Lists'!$A:$B,2,FALSE),"")</f>
        <v/>
      </c>
      <c r="F494" s="4" t="str">
        <f>IFERROR(VLOOKUP(E494,'Code Lists'!$D:$E,2,FALSE),"")</f>
        <v/>
      </c>
      <c r="H494" s="4" t="str">
        <f>IFERROR(VLOOKUP(G494,'Code Lists'!$G:$H,2,FALSE),"")</f>
        <v/>
      </c>
      <c r="J494" s="10"/>
      <c r="M494" s="11"/>
      <c r="Q494" s="7" t="str">
        <f>IF(VedAarnaSKUMaster[[#This Row],[HSN/SAC Code]]=998822,5%,IF(VedAarnaSKUMaster[[#This Row],[HSN/SAC Code]]=998391,18%,IF(VedAarnaSKUMaster[[#This Row],[HSN/SAC Code]]=998723,5%,"")))</f>
        <v/>
      </c>
      <c r="R494" s="5" t="str">
        <f t="shared" si="85"/>
        <v/>
      </c>
      <c r="S494" s="5" t="str">
        <f t="shared" si="86"/>
        <v/>
      </c>
      <c r="T494" s="11"/>
      <c r="U494" s="8" t="str">
        <f>IF(OR(VedAarnaSKUMaster[[#This Row],[Selling Price]]="",VedAarnaSKUMaster[[#This Row],[Selling Price]]=0),"",CEILING(VedAarnaSKUMaster[[#This Row],[Selling Price]]/(1-20%),100)-1)</f>
        <v/>
      </c>
      <c r="V494">
        <f t="shared" si="96"/>
        <v>0</v>
      </c>
      <c r="W494" s="8"/>
      <c r="Z494" s="6" t="str">
        <f t="shared" si="87"/>
        <v/>
      </c>
      <c r="AA494" s="6" t="str">
        <f t="shared" si="88"/>
        <v/>
      </c>
      <c r="AB494" s="6" t="str">
        <f t="shared" si="89"/>
        <v/>
      </c>
      <c r="AC494" s="6" t="str">
        <f t="shared" si="90"/>
        <v/>
      </c>
      <c r="AD494" s="6" t="str">
        <f t="shared" si="91"/>
        <v/>
      </c>
      <c r="AE494" s="6" t="str">
        <f t="shared" si="92"/>
        <v/>
      </c>
      <c r="AF494" s="6" t="str">
        <f t="shared" si="93"/>
        <v/>
      </c>
      <c r="AG494" s="6" t="str">
        <f t="shared" si="94"/>
        <v/>
      </c>
      <c r="AH494" s="6" t="str">
        <f t="shared" si="95"/>
        <v/>
      </c>
    </row>
    <row r="495" spans="1:34">
      <c r="A495" s="9"/>
      <c r="C495" s="4" t="str">
        <f>IFERROR(VLOOKUP(B495,'Code Lists'!$A:$B,2,FALSE),"")</f>
        <v/>
      </c>
      <c r="F495" s="4" t="str">
        <f>IFERROR(VLOOKUP(E495,'Code Lists'!$D:$E,2,FALSE),"")</f>
        <v/>
      </c>
      <c r="H495" s="4" t="str">
        <f>IFERROR(VLOOKUP(G495,'Code Lists'!$G:$H,2,FALSE),"")</f>
        <v/>
      </c>
      <c r="J495" s="10"/>
      <c r="M495" s="11"/>
      <c r="Q495" s="7" t="str">
        <f>IF(VedAarnaSKUMaster[[#This Row],[HSN/SAC Code]]=998822,5%,IF(VedAarnaSKUMaster[[#This Row],[HSN/SAC Code]]=998391,18%,IF(VedAarnaSKUMaster[[#This Row],[HSN/SAC Code]]=998723,5%,"")))</f>
        <v/>
      </c>
      <c r="R495" s="5" t="str">
        <f t="shared" si="85"/>
        <v/>
      </c>
      <c r="S495" s="5" t="str">
        <f t="shared" si="86"/>
        <v/>
      </c>
      <c r="T495" s="11"/>
      <c r="U495" s="8" t="str">
        <f>IF(OR(VedAarnaSKUMaster[[#This Row],[Selling Price]]="",VedAarnaSKUMaster[[#This Row],[Selling Price]]=0),"",CEILING(VedAarnaSKUMaster[[#This Row],[Selling Price]]/(1-20%),100)-1)</f>
        <v/>
      </c>
      <c r="V495">
        <f t="shared" si="96"/>
        <v>0</v>
      </c>
      <c r="W495" s="8"/>
      <c r="Z495" s="6" t="str">
        <f t="shared" si="87"/>
        <v/>
      </c>
      <c r="AA495" s="6" t="str">
        <f t="shared" si="88"/>
        <v/>
      </c>
      <c r="AB495" s="6" t="str">
        <f t="shared" si="89"/>
        <v/>
      </c>
      <c r="AC495" s="6" t="str">
        <f t="shared" si="90"/>
        <v/>
      </c>
      <c r="AD495" s="6" t="str">
        <f t="shared" si="91"/>
        <v/>
      </c>
      <c r="AE495" s="6" t="str">
        <f t="shared" si="92"/>
        <v/>
      </c>
      <c r="AF495" s="6" t="str">
        <f t="shared" si="93"/>
        <v/>
      </c>
      <c r="AG495" s="6" t="str">
        <f t="shared" si="94"/>
        <v/>
      </c>
      <c r="AH495" s="6" t="str">
        <f t="shared" si="95"/>
        <v/>
      </c>
    </row>
    <row r="496" spans="1:34">
      <c r="A496" s="9"/>
      <c r="C496" s="4" t="str">
        <f>IFERROR(VLOOKUP(B496,'Code Lists'!$A:$B,2,FALSE),"")</f>
        <v/>
      </c>
      <c r="F496" s="4" t="str">
        <f>IFERROR(VLOOKUP(E496,'Code Lists'!$D:$E,2,FALSE),"")</f>
        <v/>
      </c>
      <c r="H496" s="4" t="str">
        <f>IFERROR(VLOOKUP(G496,'Code Lists'!$G:$H,2,FALSE),"")</f>
        <v/>
      </c>
      <c r="J496" s="10"/>
      <c r="M496" s="11"/>
      <c r="Q496" s="7" t="str">
        <f>IF(VedAarnaSKUMaster[[#This Row],[HSN/SAC Code]]=998822,5%,IF(VedAarnaSKUMaster[[#This Row],[HSN/SAC Code]]=998391,18%,IF(VedAarnaSKUMaster[[#This Row],[HSN/SAC Code]]=998723,5%,"")))</f>
        <v/>
      </c>
      <c r="R496" s="5" t="str">
        <f t="shared" si="85"/>
        <v/>
      </c>
      <c r="S496" s="5" t="str">
        <f t="shared" si="86"/>
        <v/>
      </c>
      <c r="T496" s="11"/>
      <c r="U496" s="8" t="str">
        <f>IF(OR(VedAarnaSKUMaster[[#This Row],[Selling Price]]="",VedAarnaSKUMaster[[#This Row],[Selling Price]]=0),"",CEILING(VedAarnaSKUMaster[[#This Row],[Selling Price]]/(1-20%),100)-1)</f>
        <v/>
      </c>
      <c r="V496">
        <f t="shared" si="96"/>
        <v>0</v>
      </c>
      <c r="W496" s="8"/>
      <c r="Z496" s="6" t="str">
        <f t="shared" si="87"/>
        <v/>
      </c>
      <c r="AA496" s="6" t="str">
        <f t="shared" si="88"/>
        <v/>
      </c>
      <c r="AB496" s="6" t="str">
        <f t="shared" si="89"/>
        <v/>
      </c>
      <c r="AC496" s="6" t="str">
        <f t="shared" si="90"/>
        <v/>
      </c>
      <c r="AD496" s="6" t="str">
        <f t="shared" si="91"/>
        <v/>
      </c>
      <c r="AE496" s="6" t="str">
        <f t="shared" si="92"/>
        <v/>
      </c>
      <c r="AF496" s="6" t="str">
        <f t="shared" si="93"/>
        <v/>
      </c>
      <c r="AG496" s="6" t="str">
        <f t="shared" si="94"/>
        <v/>
      </c>
      <c r="AH496" s="6" t="str">
        <f t="shared" si="95"/>
        <v/>
      </c>
    </row>
    <row r="497" spans="1:34">
      <c r="A497" s="9"/>
      <c r="C497" s="4" t="str">
        <f>IFERROR(VLOOKUP(B497,'Code Lists'!$A:$B,2,FALSE),"")</f>
        <v/>
      </c>
      <c r="F497" s="4" t="str">
        <f>IFERROR(VLOOKUP(E497,'Code Lists'!$D:$E,2,FALSE),"")</f>
        <v/>
      </c>
      <c r="H497" s="4" t="str">
        <f>IFERROR(VLOOKUP(G497,'Code Lists'!$G:$H,2,FALSE),"")</f>
        <v/>
      </c>
      <c r="J497" s="10"/>
      <c r="M497" s="11"/>
      <c r="Q497" s="7" t="str">
        <f>IF(VedAarnaSKUMaster[[#This Row],[HSN/SAC Code]]=998822,5%,IF(VedAarnaSKUMaster[[#This Row],[HSN/SAC Code]]=998391,18%,IF(VedAarnaSKUMaster[[#This Row],[HSN/SAC Code]]=998723,5%,"")))</f>
        <v/>
      </c>
      <c r="R497" s="5" t="str">
        <f t="shared" si="85"/>
        <v/>
      </c>
      <c r="S497" s="5" t="str">
        <f t="shared" si="86"/>
        <v/>
      </c>
      <c r="T497" s="11"/>
      <c r="U497" s="8" t="str">
        <f>IF(OR(VedAarnaSKUMaster[[#This Row],[Selling Price]]="",VedAarnaSKUMaster[[#This Row],[Selling Price]]=0),"",CEILING(VedAarnaSKUMaster[[#This Row],[Selling Price]]/(1-20%),100)-1)</f>
        <v/>
      </c>
      <c r="V497">
        <f t="shared" si="96"/>
        <v>0</v>
      </c>
      <c r="W497" s="8"/>
      <c r="Z497" s="6" t="str">
        <f t="shared" si="87"/>
        <v/>
      </c>
      <c r="AA497" s="6" t="str">
        <f t="shared" si="88"/>
        <v/>
      </c>
      <c r="AB497" s="6" t="str">
        <f t="shared" si="89"/>
        <v/>
      </c>
      <c r="AC497" s="6" t="str">
        <f t="shared" si="90"/>
        <v/>
      </c>
      <c r="AD497" s="6" t="str">
        <f t="shared" si="91"/>
        <v/>
      </c>
      <c r="AE497" s="6" t="str">
        <f t="shared" si="92"/>
        <v/>
      </c>
      <c r="AF497" s="6" t="str">
        <f t="shared" si="93"/>
        <v/>
      </c>
      <c r="AG497" s="6" t="str">
        <f t="shared" si="94"/>
        <v/>
      </c>
      <c r="AH497" s="6" t="str">
        <f t="shared" si="95"/>
        <v/>
      </c>
    </row>
    <row r="498" spans="1:34">
      <c r="A498" s="9"/>
      <c r="C498" s="4" t="str">
        <f>IFERROR(VLOOKUP(B498,'Code Lists'!$A:$B,2,FALSE),"")</f>
        <v/>
      </c>
      <c r="F498" s="4" t="str">
        <f>IFERROR(VLOOKUP(E498,'Code Lists'!$D:$E,2,FALSE),"")</f>
        <v/>
      </c>
      <c r="H498" s="4" t="str">
        <f>IFERROR(VLOOKUP(G498,'Code Lists'!$G:$H,2,FALSE),"")</f>
        <v/>
      </c>
      <c r="J498" s="10"/>
      <c r="M498" s="11"/>
      <c r="Q498" s="7" t="str">
        <f>IF(VedAarnaSKUMaster[[#This Row],[HSN/SAC Code]]=998822,5%,IF(VedAarnaSKUMaster[[#This Row],[HSN/SAC Code]]=998391,18%,IF(VedAarnaSKUMaster[[#This Row],[HSN/SAC Code]]=998723,5%,"")))</f>
        <v/>
      </c>
      <c r="R498" s="5" t="str">
        <f t="shared" si="85"/>
        <v/>
      </c>
      <c r="S498" s="5" t="str">
        <f t="shared" si="86"/>
        <v/>
      </c>
      <c r="T498" s="11"/>
      <c r="U498" s="8" t="str">
        <f>IF(OR(VedAarnaSKUMaster[[#This Row],[Selling Price]]="",VedAarnaSKUMaster[[#This Row],[Selling Price]]=0),"",CEILING(VedAarnaSKUMaster[[#This Row],[Selling Price]]/(1-20%),100)-1)</f>
        <v/>
      </c>
      <c r="V498">
        <f t="shared" si="96"/>
        <v>0</v>
      </c>
      <c r="W498" s="8"/>
      <c r="Z498" s="6" t="str">
        <f t="shared" si="87"/>
        <v/>
      </c>
      <c r="AA498" s="6" t="str">
        <f t="shared" si="88"/>
        <v/>
      </c>
      <c r="AB498" s="6" t="str">
        <f t="shared" si="89"/>
        <v/>
      </c>
      <c r="AC498" s="6" t="str">
        <f t="shared" si="90"/>
        <v/>
      </c>
      <c r="AD498" s="6" t="str">
        <f t="shared" si="91"/>
        <v/>
      </c>
      <c r="AE498" s="6" t="str">
        <f t="shared" si="92"/>
        <v/>
      </c>
      <c r="AF498" s="6" t="str">
        <f t="shared" si="93"/>
        <v/>
      </c>
      <c r="AG498" s="6" t="str">
        <f t="shared" si="94"/>
        <v/>
      </c>
      <c r="AH498" s="6" t="str">
        <f t="shared" si="95"/>
        <v/>
      </c>
    </row>
    <row r="499" spans="1:34">
      <c r="A499" s="9"/>
      <c r="C499" s="4" t="str">
        <f>IFERROR(VLOOKUP(B499,'Code Lists'!$A:$B,2,FALSE),"")</f>
        <v/>
      </c>
      <c r="F499" s="4" t="str">
        <f>IFERROR(VLOOKUP(E499,'Code Lists'!$D:$E,2,FALSE),"")</f>
        <v/>
      </c>
      <c r="H499" s="4" t="str">
        <f>IFERROR(VLOOKUP(G499,'Code Lists'!$G:$H,2,FALSE),"")</f>
        <v/>
      </c>
      <c r="J499" s="10"/>
      <c r="M499" s="11"/>
      <c r="Q499" s="7" t="str">
        <f>IF(VedAarnaSKUMaster[[#This Row],[HSN/SAC Code]]=998822,5%,IF(VedAarnaSKUMaster[[#This Row],[HSN/SAC Code]]=998391,18%,IF(VedAarnaSKUMaster[[#This Row],[HSN/SAC Code]]=998723,5%,"")))</f>
        <v/>
      </c>
      <c r="R499" s="5" t="str">
        <f t="shared" si="85"/>
        <v/>
      </c>
      <c r="S499" s="5" t="str">
        <f t="shared" si="86"/>
        <v/>
      </c>
      <c r="T499" s="11"/>
      <c r="U499" s="8" t="str">
        <f>IF(OR(VedAarnaSKUMaster[[#This Row],[Selling Price]]="",VedAarnaSKUMaster[[#This Row],[Selling Price]]=0),"",CEILING(VedAarnaSKUMaster[[#This Row],[Selling Price]]/(1-20%),100)-1)</f>
        <v/>
      </c>
      <c r="V499">
        <f t="shared" si="96"/>
        <v>0</v>
      </c>
      <c r="W499" s="8"/>
      <c r="Z499" s="6" t="str">
        <f t="shared" si="87"/>
        <v/>
      </c>
      <c r="AA499" s="6" t="str">
        <f t="shared" si="88"/>
        <v/>
      </c>
      <c r="AB499" s="6" t="str">
        <f t="shared" si="89"/>
        <v/>
      </c>
      <c r="AC499" s="6" t="str">
        <f t="shared" si="90"/>
        <v/>
      </c>
      <c r="AD499" s="6" t="str">
        <f t="shared" si="91"/>
        <v/>
      </c>
      <c r="AE499" s="6" t="str">
        <f t="shared" si="92"/>
        <v/>
      </c>
      <c r="AF499" s="6" t="str">
        <f t="shared" si="93"/>
        <v/>
      </c>
      <c r="AG499" s="6" t="str">
        <f t="shared" si="94"/>
        <v/>
      </c>
      <c r="AH499" s="6" t="str">
        <f t="shared" si="95"/>
        <v/>
      </c>
    </row>
    <row r="500" spans="1:34">
      <c r="A500" s="9"/>
      <c r="C500" s="4" t="str">
        <f>IFERROR(VLOOKUP(B500,'Code Lists'!$A:$B,2,FALSE),"")</f>
        <v/>
      </c>
      <c r="F500" s="4" t="str">
        <f>IFERROR(VLOOKUP(E500,'Code Lists'!$D:$E,2,FALSE),"")</f>
        <v/>
      </c>
      <c r="H500" s="4" t="str">
        <f>IFERROR(VLOOKUP(G500,'Code Lists'!$G:$H,2,FALSE),"")</f>
        <v/>
      </c>
      <c r="J500" s="10"/>
      <c r="M500" s="11"/>
      <c r="Q500" s="7" t="str">
        <f>IF(VedAarnaSKUMaster[[#This Row],[HSN/SAC Code]]=998822,5%,IF(VedAarnaSKUMaster[[#This Row],[HSN/SAC Code]]=998391,18%,IF(VedAarnaSKUMaster[[#This Row],[HSN/SAC Code]]=998723,5%,"")))</f>
        <v/>
      </c>
      <c r="R500" s="5" t="str">
        <f t="shared" si="85"/>
        <v/>
      </c>
      <c r="S500" s="5" t="str">
        <f t="shared" si="86"/>
        <v/>
      </c>
      <c r="T500" s="11"/>
      <c r="U500" s="8" t="str">
        <f>IF(OR(VedAarnaSKUMaster[[#This Row],[Selling Price]]="",VedAarnaSKUMaster[[#This Row],[Selling Price]]=0),"",CEILING(VedAarnaSKUMaster[[#This Row],[Selling Price]]/(1-20%),100)-1)</f>
        <v/>
      </c>
      <c r="V500">
        <f t="shared" si="96"/>
        <v>0</v>
      </c>
      <c r="W500" s="8"/>
      <c r="Z500" s="6" t="str">
        <f t="shared" si="87"/>
        <v/>
      </c>
      <c r="AA500" s="6" t="str">
        <f t="shared" si="88"/>
        <v/>
      </c>
      <c r="AB500" s="6" t="str">
        <f t="shared" si="89"/>
        <v/>
      </c>
      <c r="AC500" s="6" t="str">
        <f t="shared" si="90"/>
        <v/>
      </c>
      <c r="AD500" s="6" t="str">
        <f t="shared" si="91"/>
        <v/>
      </c>
      <c r="AE500" s="6" t="str">
        <f t="shared" si="92"/>
        <v/>
      </c>
      <c r="AF500" s="6" t="str">
        <f t="shared" si="93"/>
        <v/>
      </c>
      <c r="AG500" s="6" t="str">
        <f t="shared" si="94"/>
        <v/>
      </c>
      <c r="AH500" s="6" t="str">
        <f t="shared" si="95"/>
        <v/>
      </c>
    </row>
  </sheetData>
  <conditionalFormatting sqref="O2:O500">
    <cfRule type="expression" dxfId="2" priority="1">
      <formula>AND(O2&lt;3,O2&lt;&gt;"")</formula>
    </cfRule>
  </conditionalFormatting>
  <conditionalFormatting sqref="X2:X500">
    <cfRule type="expression" dxfId="1" priority="2">
      <formula>X2="Complete"</formula>
    </cfRule>
  </conditionalFormatting>
  <conditionalFormatting sqref="Y2:Y500">
    <cfRule type="expression" dxfId="0" priority="3">
      <formula>Y2="Live"</formula>
    </cfRule>
  </conditionalFormatting>
  <dataValidations count="11">
    <dataValidation type="list" sqref="D2:D500" xr:uid="{00000000-0002-0000-0000-000001000000}">
      <formula1>"1PC,2PC,3PC,4PC"</formula1>
    </dataValidation>
    <dataValidation type="list" sqref="L2:L500" xr:uid="{00000000-0002-0000-0000-000006000000}">
      <formula1>"Round Neck,V-Neck,U-Neck,Boat Neck,Square Neck,Keyhole Neck,Collared,Mandarin Collar,Sweetheart,Halter Neck,High Neck,Scoop Neck,Other"</formula1>
    </dataValidation>
    <dataValidation type="list" sqref="N2:N500" xr:uid="{00000000-0002-0000-0000-000007000000}">
      <formula1>"Yes,No"</formula1>
    </dataValidation>
    <dataValidation type="list" sqref="P2:P500" xr:uid="{00000000-0002-0000-0000-000008000000}">
      <formula1>"998822,998391,998723"</formula1>
    </dataValidation>
    <dataValidation type="list" sqref="X2:X500" xr:uid="{00000000-0002-0000-0000-000009000000}">
      <formula1>"Pending,In Progress,Complete"</formula1>
    </dataValidation>
    <dataValidation type="list" sqref="Y2:Y500" xr:uid="{00000000-0002-0000-0000-00000A000000}">
      <formula1>"Draft,Ready,Live,Archived"</formula1>
    </dataValidation>
    <dataValidation type="list" allowBlank="1" showInputMessage="1" showErrorMessage="1" sqref="K2:K500" xr:uid="{E66A30CC-269E-4A15-A02A-BC1B03CB631C}">
      <formula1>PatternList</formula1>
    </dataValidation>
    <dataValidation type="list" sqref="E2:E1999" xr:uid="{C2627847-C619-4129-B474-D8917880984B}">
      <formula1>FabricList</formula1>
    </dataValidation>
    <dataValidation type="list" sqref="G2:G1999" xr:uid="{61E149CE-0510-4EA3-A803-331A83C856C7}">
      <formula1>ColorList</formula1>
    </dataValidation>
    <dataValidation type="list" sqref="B2:B1999" xr:uid="{0EEC2FAF-EA2A-4DF0-A7CB-B08C8D72B78C}">
      <formula1>GarmentTypeList</formula1>
    </dataValidation>
    <dataValidation type="list" sqref="I2:I1999" xr:uid="{5C31734A-52C8-4AF7-811B-C683825CDA38}">
      <formula1>SizeList</formula1>
    </dataValidation>
  </dataValidations>
  <pageMargins left="0.7" right="0.7" top="0.75" bottom="0.75" header="0.3" footer="0.3"/>
  <pageSetup orientation="portrait" horizontalDpi="90" verticalDpi="9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9"/>
  <sheetViews>
    <sheetView topLeftCell="E1" workbookViewId="0">
      <selection activeCell="N17" sqref="N17"/>
    </sheetView>
  </sheetViews>
  <sheetFormatPr defaultRowHeight="14.25"/>
  <cols>
    <col min="1" max="13" width="18" customWidth="1"/>
    <col min="14" max="14" width="25.375" bestFit="1" customWidth="1"/>
    <col min="15" max="24" width="18" customWidth="1"/>
    <col min="25" max="25" width="40" customWidth="1"/>
    <col min="26" max="26" width="18" customWidth="1"/>
  </cols>
  <sheetData>
    <row r="1" spans="1:26" ht="15">
      <c r="A1" s="1" t="s">
        <v>1</v>
      </c>
      <c r="B1" s="1" t="s">
        <v>46</v>
      </c>
      <c r="D1" s="1" t="s">
        <v>4</v>
      </c>
      <c r="E1" s="1" t="s">
        <v>46</v>
      </c>
      <c r="G1" s="1" t="s">
        <v>6</v>
      </c>
      <c r="H1" s="1" t="s">
        <v>46</v>
      </c>
      <c r="J1" s="1" t="s">
        <v>8</v>
      </c>
      <c r="L1" s="1" t="s">
        <v>3</v>
      </c>
      <c r="N1" s="1" t="s">
        <v>10</v>
      </c>
      <c r="P1" s="1" t="s">
        <v>11</v>
      </c>
      <c r="R1" s="1" t="s">
        <v>13</v>
      </c>
      <c r="T1" s="1" t="s">
        <v>23</v>
      </c>
      <c r="V1" s="1" t="s">
        <v>24</v>
      </c>
      <c r="X1" s="1" t="s">
        <v>15</v>
      </c>
      <c r="Y1" s="1" t="s">
        <v>47</v>
      </c>
      <c r="Z1" s="1" t="s">
        <v>16</v>
      </c>
    </row>
    <row r="2" spans="1:26">
      <c r="A2" t="s">
        <v>48</v>
      </c>
      <c r="B2" t="s">
        <v>49</v>
      </c>
      <c r="D2" t="s">
        <v>50</v>
      </c>
      <c r="E2" t="s">
        <v>51</v>
      </c>
      <c r="G2" t="s">
        <v>52</v>
      </c>
      <c r="H2" t="s">
        <v>53</v>
      </c>
      <c r="J2" t="s">
        <v>54</v>
      </c>
      <c r="L2" t="s">
        <v>55</v>
      </c>
      <c r="N2" t="s">
        <v>56</v>
      </c>
      <c r="P2" t="s">
        <v>41</v>
      </c>
      <c r="R2" t="s">
        <v>42</v>
      </c>
      <c r="T2" t="s">
        <v>44</v>
      </c>
      <c r="V2" t="s">
        <v>45</v>
      </c>
      <c r="X2" t="s">
        <v>43</v>
      </c>
      <c r="Y2" t="s">
        <v>57</v>
      </c>
      <c r="Z2" s="2">
        <v>0.05</v>
      </c>
    </row>
    <row r="3" spans="1:26">
      <c r="A3" t="s">
        <v>357</v>
      </c>
      <c r="B3" t="s">
        <v>356</v>
      </c>
      <c r="D3" t="s">
        <v>287</v>
      </c>
      <c r="E3" t="s">
        <v>288</v>
      </c>
      <c r="G3" t="s">
        <v>61</v>
      </c>
      <c r="H3" t="s">
        <v>62</v>
      </c>
      <c r="J3" t="s">
        <v>63</v>
      </c>
      <c r="L3" t="s">
        <v>64</v>
      </c>
      <c r="N3" t="s">
        <v>65</v>
      </c>
      <c r="P3" t="s">
        <v>66</v>
      </c>
      <c r="R3" t="s">
        <v>67</v>
      </c>
      <c r="T3" t="s">
        <v>68</v>
      </c>
      <c r="V3" t="s">
        <v>69</v>
      </c>
      <c r="X3" t="s">
        <v>70</v>
      </c>
      <c r="Y3" t="s">
        <v>71</v>
      </c>
      <c r="Z3" s="2">
        <v>0.18</v>
      </c>
    </row>
    <row r="4" spans="1:26">
      <c r="A4" t="s">
        <v>35</v>
      </c>
      <c r="B4" t="s">
        <v>58</v>
      </c>
      <c r="D4" t="s">
        <v>289</v>
      </c>
      <c r="E4" t="s">
        <v>290</v>
      </c>
      <c r="G4" t="s">
        <v>76</v>
      </c>
      <c r="H4" t="s">
        <v>77</v>
      </c>
      <c r="J4" t="s">
        <v>78</v>
      </c>
      <c r="L4" t="s">
        <v>36</v>
      </c>
      <c r="N4" t="s">
        <v>40</v>
      </c>
      <c r="P4" t="s">
        <v>79</v>
      </c>
      <c r="T4" t="s">
        <v>80</v>
      </c>
      <c r="V4" t="s">
        <v>81</v>
      </c>
      <c r="X4" t="s">
        <v>82</v>
      </c>
      <c r="Y4" t="s">
        <v>83</v>
      </c>
      <c r="Z4" s="2">
        <v>0.05</v>
      </c>
    </row>
    <row r="5" spans="1:26">
      <c r="A5" t="s">
        <v>72</v>
      </c>
      <c r="B5" t="s">
        <v>73</v>
      </c>
      <c r="D5" t="s">
        <v>333</v>
      </c>
      <c r="E5" t="s">
        <v>327</v>
      </c>
      <c r="G5" t="s">
        <v>88</v>
      </c>
      <c r="H5" t="s">
        <v>89</v>
      </c>
      <c r="J5" t="s">
        <v>39</v>
      </c>
      <c r="L5" t="s">
        <v>90</v>
      </c>
      <c r="N5" t="s">
        <v>351</v>
      </c>
      <c r="P5" t="s">
        <v>92</v>
      </c>
      <c r="V5" t="s">
        <v>93</v>
      </c>
    </row>
    <row r="6" spans="1:26">
      <c r="A6" t="s">
        <v>84</v>
      </c>
      <c r="B6" t="s">
        <v>85</v>
      </c>
      <c r="D6" t="s">
        <v>370</v>
      </c>
      <c r="E6" t="s">
        <v>371</v>
      </c>
      <c r="G6" t="s">
        <v>97</v>
      </c>
      <c r="H6" t="s">
        <v>98</v>
      </c>
      <c r="J6" t="s">
        <v>99</v>
      </c>
      <c r="N6" t="s">
        <v>91</v>
      </c>
      <c r="P6" t="s">
        <v>101</v>
      </c>
    </row>
    <row r="7" spans="1:26">
      <c r="A7" t="s">
        <v>94</v>
      </c>
      <c r="B7" t="s">
        <v>95</v>
      </c>
      <c r="D7" t="s">
        <v>297</v>
      </c>
      <c r="E7" t="s">
        <v>298</v>
      </c>
      <c r="G7" t="s">
        <v>106</v>
      </c>
      <c r="H7" t="s">
        <v>107</v>
      </c>
      <c r="J7" t="s">
        <v>108</v>
      </c>
      <c r="N7" t="s">
        <v>100</v>
      </c>
      <c r="P7" t="s">
        <v>110</v>
      </c>
    </row>
    <row r="8" spans="1:26">
      <c r="A8" t="s">
        <v>102</v>
      </c>
      <c r="B8" t="s">
        <v>103</v>
      </c>
      <c r="D8" t="s">
        <v>59</v>
      </c>
      <c r="E8" t="s">
        <v>60</v>
      </c>
      <c r="G8" t="s">
        <v>115</v>
      </c>
      <c r="H8" t="s">
        <v>116</v>
      </c>
      <c r="J8" t="s">
        <v>117</v>
      </c>
      <c r="N8" t="s">
        <v>109</v>
      </c>
      <c r="P8" t="s">
        <v>119</v>
      </c>
    </row>
    <row r="9" spans="1:26">
      <c r="A9" t="s">
        <v>111</v>
      </c>
      <c r="B9" t="s">
        <v>112</v>
      </c>
      <c r="D9" t="s">
        <v>74</v>
      </c>
      <c r="E9" t="s">
        <v>75</v>
      </c>
      <c r="G9" t="s">
        <v>124</v>
      </c>
      <c r="H9" t="s">
        <v>125</v>
      </c>
      <c r="J9" t="s">
        <v>126</v>
      </c>
      <c r="N9" t="s">
        <v>118</v>
      </c>
      <c r="P9" t="s">
        <v>128</v>
      </c>
    </row>
    <row r="10" spans="1:26">
      <c r="A10" t="s">
        <v>120</v>
      </c>
      <c r="B10" t="s">
        <v>121</v>
      </c>
      <c r="D10" t="s">
        <v>86</v>
      </c>
      <c r="E10" t="s">
        <v>87</v>
      </c>
      <c r="G10" t="s">
        <v>133</v>
      </c>
      <c r="H10" t="s">
        <v>134</v>
      </c>
      <c r="J10" t="s">
        <v>135</v>
      </c>
      <c r="N10" t="s">
        <v>127</v>
      </c>
      <c r="P10" t="s">
        <v>137</v>
      </c>
    </row>
    <row r="11" spans="1:26">
      <c r="A11" t="s">
        <v>129</v>
      </c>
      <c r="B11" t="s">
        <v>130</v>
      </c>
      <c r="D11" t="s">
        <v>37</v>
      </c>
      <c r="E11" t="s">
        <v>96</v>
      </c>
      <c r="G11" t="s">
        <v>142</v>
      </c>
      <c r="H11" t="s">
        <v>143</v>
      </c>
      <c r="J11" t="s">
        <v>144</v>
      </c>
      <c r="N11" t="s">
        <v>136</v>
      </c>
      <c r="P11" t="s">
        <v>146</v>
      </c>
    </row>
    <row r="12" spans="1:26">
      <c r="A12" t="s">
        <v>138</v>
      </c>
      <c r="B12" t="s">
        <v>139</v>
      </c>
      <c r="D12" t="s">
        <v>104</v>
      </c>
      <c r="E12" t="s">
        <v>105</v>
      </c>
      <c r="G12" t="s">
        <v>151</v>
      </c>
      <c r="H12" t="s">
        <v>152</v>
      </c>
      <c r="J12" t="s">
        <v>153</v>
      </c>
      <c r="N12" t="s">
        <v>145</v>
      </c>
      <c r="P12" t="s">
        <v>155</v>
      </c>
    </row>
    <row r="13" spans="1:26">
      <c r="A13" t="s">
        <v>147</v>
      </c>
      <c r="B13" t="s">
        <v>148</v>
      </c>
      <c r="D13" t="s">
        <v>113</v>
      </c>
      <c r="E13" t="s">
        <v>114</v>
      </c>
      <c r="G13" t="s">
        <v>160</v>
      </c>
      <c r="H13" t="s">
        <v>161</v>
      </c>
      <c r="J13" t="s">
        <v>162</v>
      </c>
      <c r="N13" t="s">
        <v>154</v>
      </c>
      <c r="P13" t="s">
        <v>164</v>
      </c>
    </row>
    <row r="14" spans="1:26">
      <c r="A14" t="s">
        <v>156</v>
      </c>
      <c r="B14" t="s">
        <v>157</v>
      </c>
      <c r="D14" t="s">
        <v>122</v>
      </c>
      <c r="E14" t="s">
        <v>123</v>
      </c>
      <c r="G14" t="s">
        <v>364</v>
      </c>
      <c r="H14" t="s">
        <v>366</v>
      </c>
      <c r="J14" t="s">
        <v>171</v>
      </c>
      <c r="N14" t="s">
        <v>163</v>
      </c>
      <c r="P14" t="s">
        <v>172</v>
      </c>
    </row>
    <row r="15" spans="1:26">
      <c r="A15" t="s">
        <v>165</v>
      </c>
      <c r="B15" t="s">
        <v>166</v>
      </c>
      <c r="D15" t="s">
        <v>131</v>
      </c>
      <c r="E15" t="s">
        <v>132</v>
      </c>
      <c r="G15" t="s">
        <v>365</v>
      </c>
      <c r="H15" t="s">
        <v>367</v>
      </c>
      <c r="J15" t="s">
        <v>325</v>
      </c>
      <c r="N15" t="s">
        <v>280</v>
      </c>
    </row>
    <row r="16" spans="1:26">
      <c r="A16" t="s">
        <v>173</v>
      </c>
      <c r="B16" t="s">
        <v>174</v>
      </c>
      <c r="D16" t="s">
        <v>140</v>
      </c>
      <c r="E16" t="s">
        <v>141</v>
      </c>
      <c r="G16" t="s">
        <v>169</v>
      </c>
      <c r="H16" t="s">
        <v>170</v>
      </c>
      <c r="J16" t="s">
        <v>326</v>
      </c>
      <c r="N16" t="s">
        <v>293</v>
      </c>
    </row>
    <row r="17" spans="1:14">
      <c r="A17" t="s">
        <v>179</v>
      </c>
      <c r="B17" t="s">
        <v>180</v>
      </c>
      <c r="D17" t="s">
        <v>149</v>
      </c>
      <c r="E17" t="s">
        <v>150</v>
      </c>
      <c r="G17" t="s">
        <v>177</v>
      </c>
      <c r="H17" t="s">
        <v>178</v>
      </c>
      <c r="J17" t="s">
        <v>324</v>
      </c>
      <c r="N17" t="s">
        <v>378</v>
      </c>
    </row>
    <row r="18" spans="1:14">
      <c r="A18" t="s">
        <v>184</v>
      </c>
      <c r="B18" t="s">
        <v>185</v>
      </c>
      <c r="D18" t="s">
        <v>158</v>
      </c>
      <c r="E18" t="s">
        <v>159</v>
      </c>
      <c r="G18" t="s">
        <v>38</v>
      </c>
      <c r="H18" t="s">
        <v>183</v>
      </c>
      <c r="J18" t="s">
        <v>321</v>
      </c>
      <c r="N18" t="s">
        <v>361</v>
      </c>
    </row>
    <row r="19" spans="1:14">
      <c r="A19" t="s">
        <v>190</v>
      </c>
      <c r="B19" t="s">
        <v>191</v>
      </c>
      <c r="D19" t="s">
        <v>167</v>
      </c>
      <c r="E19" t="s">
        <v>168</v>
      </c>
      <c r="G19" t="s">
        <v>188</v>
      </c>
      <c r="H19" t="s">
        <v>189</v>
      </c>
      <c r="J19" t="s">
        <v>347</v>
      </c>
      <c r="N19" t="s">
        <v>299</v>
      </c>
    </row>
    <row r="20" spans="1:14">
      <c r="A20" t="s">
        <v>196</v>
      </c>
      <c r="B20" t="s">
        <v>197</v>
      </c>
      <c r="D20" t="s">
        <v>175</v>
      </c>
      <c r="E20" t="s">
        <v>176</v>
      </c>
      <c r="G20" t="s">
        <v>328</v>
      </c>
      <c r="H20" t="s">
        <v>329</v>
      </c>
      <c r="J20" t="s">
        <v>330</v>
      </c>
      <c r="N20" t="s">
        <v>310</v>
      </c>
    </row>
    <row r="21" spans="1:14">
      <c r="A21" t="s">
        <v>202</v>
      </c>
      <c r="B21" t="s">
        <v>203</v>
      </c>
      <c r="D21" t="s">
        <v>181</v>
      </c>
      <c r="E21" t="s">
        <v>182</v>
      </c>
      <c r="G21" t="s">
        <v>194</v>
      </c>
      <c r="H21" t="s">
        <v>195</v>
      </c>
      <c r="J21" t="s">
        <v>360</v>
      </c>
      <c r="N21" t="s">
        <v>172</v>
      </c>
    </row>
    <row r="22" spans="1:14">
      <c r="A22" t="s">
        <v>208</v>
      </c>
      <c r="B22" t="s">
        <v>209</v>
      </c>
      <c r="D22" t="s">
        <v>186</v>
      </c>
      <c r="E22" t="s">
        <v>187</v>
      </c>
      <c r="G22" t="s">
        <v>200</v>
      </c>
      <c r="H22" t="s">
        <v>201</v>
      </c>
      <c r="J22" t="s">
        <v>322</v>
      </c>
    </row>
    <row r="23" spans="1:14">
      <c r="A23" t="s">
        <v>214</v>
      </c>
      <c r="B23" t="s">
        <v>215</v>
      </c>
      <c r="D23" t="s">
        <v>192</v>
      </c>
      <c r="E23" t="s">
        <v>193</v>
      </c>
      <c r="G23" t="s">
        <v>206</v>
      </c>
      <c r="H23" t="s">
        <v>207</v>
      </c>
      <c r="J23" t="s">
        <v>323</v>
      </c>
    </row>
    <row r="24" spans="1:14">
      <c r="A24" t="s">
        <v>302</v>
      </c>
      <c r="B24" t="s">
        <v>303</v>
      </c>
      <c r="D24" t="s">
        <v>198</v>
      </c>
      <c r="E24" t="s">
        <v>199</v>
      </c>
      <c r="G24" t="s">
        <v>212</v>
      </c>
      <c r="H24" t="s">
        <v>213</v>
      </c>
    </row>
    <row r="25" spans="1:14">
      <c r="A25" t="s">
        <v>304</v>
      </c>
      <c r="B25" t="s">
        <v>305</v>
      </c>
      <c r="D25" t="s">
        <v>204</v>
      </c>
      <c r="E25" t="s">
        <v>205</v>
      </c>
      <c r="G25" t="s">
        <v>218</v>
      </c>
      <c r="H25" t="s">
        <v>219</v>
      </c>
    </row>
    <row r="26" spans="1:14">
      <c r="A26" t="s">
        <v>220</v>
      </c>
      <c r="B26" t="s">
        <v>171</v>
      </c>
      <c r="D26" t="s">
        <v>210</v>
      </c>
      <c r="E26" t="s">
        <v>211</v>
      </c>
      <c r="G26" t="s">
        <v>223</v>
      </c>
      <c r="H26" t="s">
        <v>224</v>
      </c>
    </row>
    <row r="27" spans="1:14">
      <c r="D27" t="s">
        <v>216</v>
      </c>
      <c r="E27" t="s">
        <v>217</v>
      </c>
      <c r="G27" t="s">
        <v>227</v>
      </c>
      <c r="H27" t="s">
        <v>228</v>
      </c>
    </row>
    <row r="28" spans="1:14">
      <c r="D28" t="s">
        <v>221</v>
      </c>
      <c r="E28" t="s">
        <v>222</v>
      </c>
      <c r="G28" t="s">
        <v>231</v>
      </c>
      <c r="H28" t="s">
        <v>232</v>
      </c>
    </row>
    <row r="29" spans="1:14">
      <c r="D29" t="s">
        <v>225</v>
      </c>
      <c r="E29" t="s">
        <v>226</v>
      </c>
      <c r="G29" t="s">
        <v>234</v>
      </c>
      <c r="H29" t="s">
        <v>235</v>
      </c>
    </row>
    <row r="30" spans="1:14">
      <c r="D30" t="s">
        <v>229</v>
      </c>
      <c r="E30" t="s">
        <v>230</v>
      </c>
      <c r="G30" t="s">
        <v>236</v>
      </c>
      <c r="H30" t="s">
        <v>237</v>
      </c>
    </row>
    <row r="31" spans="1:14">
      <c r="D31" t="s">
        <v>100</v>
      </c>
      <c r="E31" t="s">
        <v>233</v>
      </c>
      <c r="G31" t="s">
        <v>238</v>
      </c>
      <c r="H31" t="s">
        <v>239</v>
      </c>
    </row>
    <row r="32" spans="1:14">
      <c r="D32" t="s">
        <v>285</v>
      </c>
      <c r="E32" t="s">
        <v>286</v>
      </c>
      <c r="G32" t="s">
        <v>240</v>
      </c>
      <c r="H32" t="s">
        <v>241</v>
      </c>
    </row>
    <row r="33" spans="4:8">
      <c r="D33" t="s">
        <v>338</v>
      </c>
      <c r="E33" t="s">
        <v>339</v>
      </c>
      <c r="G33" t="s">
        <v>242</v>
      </c>
      <c r="H33" t="s">
        <v>243</v>
      </c>
    </row>
    <row r="34" spans="4:8">
      <c r="G34" t="s">
        <v>244</v>
      </c>
      <c r="H34" t="s">
        <v>245</v>
      </c>
    </row>
    <row r="35" spans="4:8">
      <c r="G35" t="s">
        <v>246</v>
      </c>
      <c r="H35" t="s">
        <v>247</v>
      </c>
    </row>
    <row r="36" spans="4:8">
      <c r="G36" t="s">
        <v>291</v>
      </c>
      <c r="H36" t="s">
        <v>292</v>
      </c>
    </row>
    <row r="37" spans="4:8">
      <c r="G37" t="s">
        <v>308</v>
      </c>
      <c r="H37" t="s">
        <v>309</v>
      </c>
    </row>
    <row r="38" spans="4:8">
      <c r="G38" t="s">
        <v>313</v>
      </c>
      <c r="H38" t="s">
        <v>314</v>
      </c>
    </row>
    <row r="39" spans="4:8">
      <c r="G39" t="s">
        <v>248</v>
      </c>
      <c r="H39" t="s">
        <v>249</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A16" sqref="A16"/>
    </sheetView>
  </sheetViews>
  <sheetFormatPr defaultRowHeight="14.25"/>
  <cols>
    <col min="1" max="1" width="22" customWidth="1"/>
    <col min="2" max="2" width="48" customWidth="1"/>
    <col min="3" max="3" width="4" customWidth="1"/>
    <col min="4" max="4" width="15" customWidth="1"/>
    <col min="5" max="5" width="48" customWidth="1"/>
    <col min="6" max="6" width="12" customWidth="1"/>
  </cols>
  <sheetData>
    <row r="1" spans="1:6" ht="27.95" customHeight="1">
      <c r="A1" s="12" t="s">
        <v>250</v>
      </c>
      <c r="B1" s="12"/>
      <c r="C1" s="12"/>
      <c r="D1" s="12"/>
      <c r="E1" s="12"/>
      <c r="F1" s="12"/>
    </row>
    <row r="3" spans="1:6" ht="15">
      <c r="A3" s="13" t="s">
        <v>251</v>
      </c>
      <c r="B3" s="13" t="s">
        <v>252</v>
      </c>
      <c r="D3" s="13" t="s">
        <v>253</v>
      </c>
      <c r="E3" s="13" t="s">
        <v>254</v>
      </c>
      <c r="F3" s="13" t="s">
        <v>255</v>
      </c>
    </row>
    <row r="4" spans="1:6">
      <c r="A4" t="s">
        <v>256</v>
      </c>
      <c r="B4" t="s">
        <v>257</v>
      </c>
      <c r="D4" t="s">
        <v>43</v>
      </c>
      <c r="E4" t="s">
        <v>57</v>
      </c>
      <c r="F4" t="s">
        <v>258</v>
      </c>
    </row>
    <row r="5" spans="1:6">
      <c r="A5" t="s">
        <v>259</v>
      </c>
      <c r="B5" t="s">
        <v>260</v>
      </c>
      <c r="D5" t="s">
        <v>70</v>
      </c>
      <c r="E5" t="s">
        <v>71</v>
      </c>
      <c r="F5" t="s">
        <v>261</v>
      </c>
    </row>
    <row r="6" spans="1:6">
      <c r="A6" t="s">
        <v>3</v>
      </c>
      <c r="B6" t="s">
        <v>262</v>
      </c>
      <c r="D6" t="s">
        <v>82</v>
      </c>
      <c r="E6" t="s">
        <v>83</v>
      </c>
      <c r="F6" t="s">
        <v>258</v>
      </c>
    </row>
    <row r="7" spans="1:6">
      <c r="A7" t="s">
        <v>17</v>
      </c>
      <c r="B7" t="s">
        <v>263</v>
      </c>
      <c r="D7" t="s">
        <v>264</v>
      </c>
      <c r="E7" t="s">
        <v>265</v>
      </c>
    </row>
    <row r="8" spans="1:6">
      <c r="A8" t="s">
        <v>266</v>
      </c>
      <c r="B8" t="s">
        <v>267</v>
      </c>
    </row>
    <row r="9" spans="1:6">
      <c r="A9" t="s">
        <v>18</v>
      </c>
      <c r="B9" t="s">
        <v>268</v>
      </c>
    </row>
    <row r="10" spans="1:6">
      <c r="A10" t="s">
        <v>269</v>
      </c>
      <c r="B10" t="s">
        <v>270</v>
      </c>
    </row>
    <row r="11" spans="1:6">
      <c r="A11" t="s">
        <v>255</v>
      </c>
      <c r="B11" t="s">
        <v>271</v>
      </c>
    </row>
    <row r="12" spans="1:6">
      <c r="A12" t="s">
        <v>272</v>
      </c>
      <c r="B12" t="s">
        <v>273</v>
      </c>
    </row>
    <row r="14" spans="1:6" ht="15">
      <c r="A14" s="1" t="s">
        <v>274</v>
      </c>
      <c r="B14" s="1"/>
      <c r="C14" s="1"/>
      <c r="D14" s="1"/>
      <c r="E14" s="1"/>
      <c r="F14" s="1"/>
    </row>
    <row r="15" spans="1:6" ht="185.25">
      <c r="A15" s="11" t="s">
        <v>275</v>
      </c>
      <c r="B15" s="11"/>
      <c r="C15" s="11"/>
      <c r="D15" s="11"/>
      <c r="E15" s="11"/>
      <c r="F15" s="11"/>
    </row>
    <row r="16" spans="1:6" ht="42.75">
      <c r="A16" s="11" t="s">
        <v>276</v>
      </c>
      <c r="B16" s="11"/>
      <c r="C16" s="11"/>
      <c r="D16" s="11"/>
      <c r="E16" s="11"/>
      <c r="F16" s="11"/>
    </row>
    <row r="17" spans="1:6">
      <c r="A17" s="11"/>
      <c r="B17" s="11"/>
      <c r="C17" s="11"/>
      <c r="D17" s="11"/>
      <c r="E17" s="11"/>
      <c r="F17"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SKU Master</vt:lpstr>
      <vt:lpstr>Code Lists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Manish Singh</cp:lastModifiedBy>
  <dcterms:modified xsi:type="dcterms:W3CDTF">2026-09-28T06:41:45Z</dcterms:modified>
</cp:coreProperties>
</file>